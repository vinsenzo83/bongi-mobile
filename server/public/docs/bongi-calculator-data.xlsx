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01_Internet" sheetId="2" state="visible" r:id="rId2"/>
    <sheet name="02_TV" sheetId="3" state="visible" r:id="rId3"/>
    <sheet name="03_TV_Internet" sheetId="4" state="visible" r:id="rId4"/>
    <sheet name="04_SetTop" sheetId="5" state="visible" r:id="rId5"/>
    <sheet name="05_WiFi" sheetId="6" state="visible" r:id="rId6"/>
    <sheet name="06_Install" sheetId="7" state="visible" r:id="rId7"/>
    <sheet name="07_Gift" sheetId="8" state="visible" r:id="rId8"/>
    <sheet name="08_Cards" sheetId="9" state="visible" r:id="rId9"/>
    <sheet name="10_SKT_Bundle" sheetId="10" state="visible" r:id="rId10"/>
    <sheet name="11_KT_Total" sheetId="11" state="visible" r:id="rId11"/>
    <sheet name="12_KT_Fixed" sheetId="12" state="visible" r:id="rId12"/>
    <sheet name="13_KT_Premium" sheetId="13" state="visible" r:id="rId13"/>
    <sheet name="14_LGU_Chweyswun" sheetId="14" state="visible" r:id="rId14"/>
    <sheet name="15_LGU_Together" sheetId="15" state="visible" r:id="rId15"/>
    <sheet name="30_CALC_Formula" sheetId="16" state="visible" r:id="rId16"/>
    <sheet name="31_CALC_Example_SKT" sheetId="17" state="visible" r:id="rId17"/>
    <sheet name="31b_CALC_Example_KT_Total" sheetId="18" state="visible" r:id="rId18"/>
    <sheet name="32_CALC_Example_KT_Premium" sheetId="19" state="visible" r:id="rId19"/>
    <sheet name="40_CALC_Interactive_SKT" sheetId="20" state="visible" r:id="rId20"/>
    <sheet name="41_CALC_Interactive_KT" sheetId="21" state="visible" r:id="rId21"/>
    <sheet name="42_CALC_Interactive_LGU" sheetId="22" state="visible" r:id="rId22"/>
    <sheet name="20_Schema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4">
    <font>
      <name val="Calibri"/>
      <family val="2"/>
      <color theme="1"/>
      <sz val="11"/>
      <scheme val="minor"/>
    </font>
    <font>
      <name val="Noto Sans KR"/>
      <b val="1"/>
      <color rgb="001a2744"/>
      <sz val="18"/>
    </font>
    <font>
      <name val="Noto Sans KR"/>
      <i val="1"/>
      <color rgb="00666666"/>
      <sz val="11"/>
    </font>
    <font>
      <name val="Noto Sans KR"/>
      <b val="1"/>
      <color rgb="001a2744"/>
      <sz val="14"/>
    </font>
    <font>
      <name val="Noto Sans KR"/>
      <b val="1"/>
      <color rgb="00ffffff"/>
      <sz val="11"/>
    </font>
    <font>
      <name val="Noto Sans KR"/>
      <sz val="10"/>
    </font>
    <font>
      <name val="Noto Sans KR"/>
      <i val="1"/>
      <color rgb="00666666"/>
      <sz val="10"/>
    </font>
    <font>
      <name val="Noto Sans KR"/>
      <b val="1"/>
      <color rgb="00ef4444"/>
      <sz val="14"/>
    </font>
    <font>
      <name val="Noto Sans KR"/>
      <i val="1"/>
      <color rgb="00666666"/>
      <sz val="9"/>
    </font>
    <font>
      <name val="Noto Sans KR"/>
      <b val="1"/>
      <color rgb="002563eb"/>
      <sz val="14"/>
    </font>
    <font>
      <name val="Noto Sans KR"/>
      <b val="1"/>
      <color rgb="00d97706"/>
      <sz val="14"/>
    </font>
    <font>
      <name val="Noto Sans KR"/>
      <i val="1"/>
      <color rgb="0092400e"/>
      <sz val="10"/>
    </font>
    <font>
      <name val="Noto Sans KR"/>
      <b val="1"/>
      <color rgb="00e40981"/>
      <sz val="14"/>
    </font>
    <font>
      <name val="Noto Sans KR"/>
      <b val="1"/>
      <color rgb="00e40981"/>
      <sz val="12"/>
    </font>
    <font>
      <name val="Noto Sans KR"/>
      <b val="1"/>
      <sz val="10"/>
    </font>
    <font>
      <name val="SF Mono"/>
      <color rgb="001a2744"/>
      <sz val="10"/>
    </font>
    <font>
      <name val="Noto Sans KR"/>
      <b val="1"/>
      <color rgb="00dc2626"/>
      <sz val="13"/>
    </font>
    <font>
      <name val="SF Mono"/>
      <sz val="10"/>
    </font>
    <font>
      <name val="Noto Sans KR"/>
      <b val="1"/>
      <color rgb="001a2744"/>
      <sz val="11"/>
    </font>
    <font>
      <name val="SF Mono"/>
      <color rgb="00666666"/>
      <sz val="9"/>
    </font>
    <font>
      <name val="Noto Sans KR"/>
      <color rgb="00333333"/>
      <sz val="11"/>
    </font>
    <font>
      <name val="Noto Sans KR"/>
      <color rgb="001a2744"/>
      <sz val="11"/>
    </font>
    <font>
      <name val="Noto Sans KR"/>
      <b val="1"/>
      <color rgb="00ffffff"/>
      <sz val="16"/>
    </font>
    <font>
      <name val="Noto Sans KR"/>
      <b val="1"/>
      <color rgb="001a2744"/>
      <sz val="12"/>
    </font>
    <font>
      <name val="Noto Sans KR"/>
      <b val="1"/>
      <sz val="11"/>
    </font>
    <font>
      <name val="Noto Sans KR"/>
      <i val="1"/>
      <color rgb="00d97706"/>
      <sz val="9"/>
    </font>
    <font>
      <name val="Noto Sans KR"/>
      <color rgb="00666666"/>
      <sz val="9"/>
    </font>
    <font>
      <name val="Noto Sans KR"/>
      <color rgb="00333333"/>
      <sz val="10"/>
    </font>
    <font>
      <name val="Noto Sans KR"/>
      <b val="1"/>
      <color rgb="00666666"/>
      <sz val="11"/>
    </font>
    <font>
      <name val="Noto Sans KR"/>
      <b val="1"/>
      <color rgb="00ef4444"/>
      <sz val="11"/>
    </font>
    <font>
      <name val="SF Mono"/>
      <b val="1"/>
      <color rgb="00ef4444"/>
      <sz val="14"/>
    </font>
    <font>
      <name val="Noto Sans KR"/>
      <b val="1"/>
      <color rgb="00666666"/>
      <sz val="12"/>
    </font>
    <font>
      <name val="SF Mono"/>
      <b val="1"/>
      <color rgb="002563eb"/>
      <sz val="14"/>
    </font>
    <font>
      <name val="SF Mono"/>
      <b val="1"/>
      <color rgb="00e40981"/>
      <sz val="14"/>
    </font>
  </fonts>
  <fills count="11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fef2f2"/>
      </patternFill>
    </fill>
    <fill>
      <patternFill patternType="solid">
        <fgColor rgb="00eff6ff"/>
      </patternFill>
    </fill>
    <fill>
      <patternFill patternType="solid">
        <fgColor rgb="00fdf2f8"/>
      </patternFill>
    </fill>
    <fill>
      <patternFill patternType="solid">
        <fgColor rgb="00fef3c7"/>
      </patternFill>
    </fill>
    <fill>
      <patternFill patternType="solid">
        <fgColor rgb="00f0f0f0"/>
      </patternFill>
    </fill>
    <fill>
      <patternFill patternType="solid">
        <fgColor rgb="00ef4444"/>
      </patternFill>
    </fill>
    <fill>
      <patternFill patternType="solid">
        <fgColor rgb="002563eb"/>
      </patternFill>
    </fill>
    <fill>
      <patternFill patternType="solid">
        <fgColor rgb="00e40981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3" borderId="1" applyAlignment="1" pivotButton="0" quotePrefix="0" xfId="0">
      <alignment vertical="center"/>
    </xf>
    <xf numFmtId="0" fontId="5" fillId="4" borderId="0" pivotButton="0" quotePrefix="0" xfId="0"/>
    <xf numFmtId="0" fontId="5" fillId="4" borderId="1" applyAlignment="1" pivotButton="0" quotePrefix="0" xfId="0">
      <alignment vertical="center"/>
    </xf>
    <xf numFmtId="0" fontId="5" fillId="5" borderId="0" pivotButton="0" quotePrefix="0" xfId="0"/>
    <xf numFmtId="0" fontId="5" fillId="5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5" fillId="6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0" borderId="1" pivotButton="0" quotePrefix="0" xfId="0"/>
    <xf numFmtId="0" fontId="15" fillId="0" borderId="1" pivotButton="0" quotePrefix="0" xfId="0"/>
    <xf numFmtId="0" fontId="5" fillId="0" borderId="1" pivotButton="0" quotePrefix="0" xfId="0"/>
    <xf numFmtId="0" fontId="16" fillId="0" borderId="0" pivotButton="0" quotePrefix="0" xfId="0"/>
    <xf numFmtId="0" fontId="5" fillId="6" borderId="0" pivotButton="0" quotePrefix="0" xfId="0"/>
    <xf numFmtId="0" fontId="5" fillId="3" borderId="1" pivotButton="0" quotePrefix="0" xfId="0"/>
    <xf numFmtId="0" fontId="17" fillId="3" borderId="1" pivotButton="0" quotePrefix="0" xfId="0"/>
    <xf numFmtId="0" fontId="17" fillId="0" borderId="1" pivotButton="0" quotePrefix="0" xfId="0"/>
    <xf numFmtId="0" fontId="5" fillId="4" borderId="1" pivotButton="0" quotePrefix="0" xfId="0"/>
    <xf numFmtId="0" fontId="17" fillId="4" borderId="1" pivotButton="0" quotePrefix="0" xfId="0"/>
    <xf numFmtId="0" fontId="5" fillId="5" borderId="1" pivotButton="0" quotePrefix="0" xfId="0"/>
    <xf numFmtId="0" fontId="17" fillId="5" borderId="1" pivotButton="0" quotePrefix="0" xfId="0"/>
    <xf numFmtId="0" fontId="18" fillId="0" borderId="1" pivotButton="0" quotePrefix="0" xfId="0"/>
    <xf numFmtId="0" fontId="19" fillId="0" borderId="1" pivotButton="0" quotePrefix="0" xfId="0"/>
    <xf numFmtId="0" fontId="20" fillId="0" borderId="1" pivotButton="0" quotePrefix="0" xfId="0"/>
    <xf numFmtId="0" fontId="21" fillId="7" borderId="1" pivotButton="0" quotePrefix="0" xfId="0"/>
    <xf numFmtId="0" fontId="17" fillId="7" borderId="1" pivotButton="0" quotePrefix="0" xfId="0"/>
    <xf numFmtId="0" fontId="19" fillId="7" borderId="1" pivotButton="0" quotePrefix="0" xfId="0"/>
    <xf numFmtId="0" fontId="20" fillId="3" borderId="1" pivotButton="0" quotePrefix="0" xfId="0"/>
    <xf numFmtId="0" fontId="19" fillId="3" borderId="1" pivotButton="0" quotePrefix="0" xfId="0"/>
    <xf numFmtId="0" fontId="21" fillId="0" borderId="1" pivotButton="0" quotePrefix="0" xfId="0"/>
    <xf numFmtId="0" fontId="18" fillId="4" borderId="1" pivotButton="0" quotePrefix="0" xfId="0"/>
    <xf numFmtId="0" fontId="19" fillId="4" borderId="1" pivotButton="0" quotePrefix="0" xfId="0"/>
    <xf numFmtId="0" fontId="21" fillId="4" borderId="1" pivotButton="0" quotePrefix="0" xfId="0"/>
    <xf numFmtId="0" fontId="21" fillId="6" borderId="1" pivotButton="0" quotePrefix="0" xfId="0"/>
    <xf numFmtId="0" fontId="17" fillId="6" borderId="1" pivotButton="0" quotePrefix="0" xfId="0"/>
    <xf numFmtId="0" fontId="19" fillId="6" borderId="1" pivotButton="0" quotePrefix="0" xfId="0"/>
    <xf numFmtId="0" fontId="22" fillId="8" borderId="0" applyAlignment="1" pivotButton="0" quotePrefix="0" xfId="0">
      <alignment horizontal="center" vertical="center"/>
    </xf>
    <xf numFmtId="0" fontId="23" fillId="0" borderId="0" pivotButton="0" quotePrefix="0" xfId="0"/>
    <xf numFmtId="0" fontId="24" fillId="0" borderId="0" pivotButton="0" quotePrefix="0" xfId="0"/>
    <xf numFmtId="0" fontId="17" fillId="6" borderId="1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17" fillId="0" borderId="1" applyAlignment="1" pivotButton="0" quotePrefix="0" xfId="0">
      <alignment horizontal="right"/>
    </xf>
    <xf numFmtId="0" fontId="28" fillId="0" borderId="0" pivotButton="0" quotePrefix="0" xfId="0"/>
    <xf numFmtId="164" fontId="17" fillId="3" borderId="1" applyAlignment="1" pivotButton="0" quotePrefix="0" xfId="0">
      <alignment horizontal="right"/>
    </xf>
    <xf numFmtId="0" fontId="29" fillId="0" borderId="0" pivotButton="0" quotePrefix="0" xfId="0"/>
    <xf numFmtId="164" fontId="30" fillId="3" borderId="1" applyAlignment="1" pivotButton="0" quotePrefix="0" xfId="0">
      <alignment horizontal="right"/>
    </xf>
    <xf numFmtId="0" fontId="31" fillId="0" borderId="0" pivotButton="0" quotePrefix="0" xfId="0"/>
    <xf numFmtId="0" fontId="22" fillId="9" borderId="0" applyAlignment="1" pivotButton="0" quotePrefix="0" xfId="0">
      <alignment horizontal="center" vertical="center"/>
    </xf>
    <xf numFmtId="164" fontId="17" fillId="4" borderId="1" applyAlignment="1" pivotButton="0" quotePrefix="0" xfId="0">
      <alignment horizontal="right"/>
    </xf>
    <xf numFmtId="164" fontId="32" fillId="4" borderId="1" applyAlignment="1" pivotButton="0" quotePrefix="0" xfId="0">
      <alignment horizontal="right"/>
    </xf>
    <xf numFmtId="0" fontId="22" fillId="10" borderId="0" applyAlignment="1" pivotButton="0" quotePrefix="0" xfId="0">
      <alignment horizontal="center" vertical="center"/>
    </xf>
    <xf numFmtId="164" fontId="17" fillId="5" borderId="1" applyAlignment="1" pivotButton="0" quotePrefix="0" xfId="0">
      <alignment horizontal="right"/>
    </xf>
    <xf numFmtId="164" fontId="33" fillId="5" borderId="1" applyAlignment="1" pivotButton="0" quotePrefix="0" xfId="0">
      <alignment horizontal="right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20" customWidth="1" min="3" max="3"/>
  </cols>
  <sheetData>
    <row r="1">
      <c r="A1" s="1" t="inlineStr">
        <is>
          <t>봉이모바일 — 3사 통신 요금 계산기 데이터</t>
        </is>
      </c>
    </row>
    <row r="2">
      <c r="A2" s="2" t="inlineStr">
        <is>
          <t>개발자 참고용 · 출처: docs/calculator.html D 객체 · 기준일: 2026-04-21</t>
        </is>
      </c>
    </row>
    <row r="4" ht="24" customHeight="1">
      <c r="A4" s="3" t="inlineStr">
        <is>
          <t>📋 시트 구조</t>
        </is>
      </c>
    </row>
    <row r="6">
      <c r="A6" s="4" t="inlineStr">
        <is>
          <t>시트명</t>
        </is>
      </c>
      <c r="B6" s="4" t="inlineStr">
        <is>
          <t>내용</t>
        </is>
      </c>
      <c r="C6" s="4" t="inlineStr">
        <is>
          <t>카테고리</t>
        </is>
      </c>
    </row>
    <row r="7">
      <c r="A7" s="5" t="inlineStr">
        <is>
          <t>INDEX</t>
        </is>
      </c>
      <c r="B7" s="5" t="inlineStr">
        <is>
          <t>전체 시트 목록 · 데이터 스키마 안내</t>
        </is>
      </c>
      <c r="C7" s="5" t="inlineStr">
        <is>
          <t>시작</t>
        </is>
      </c>
    </row>
    <row r="8">
      <c r="A8" s="5" t="inlineStr">
        <is>
          <t>01_Internet</t>
        </is>
      </c>
      <c r="B8" s="5" t="inlineStr">
        <is>
          <t>3사 인터넷 단독 요금 (속도별)</t>
        </is>
      </c>
      <c r="C8" s="5" t="inlineStr">
        <is>
          <t>필수</t>
        </is>
      </c>
    </row>
    <row r="9">
      <c r="A9" s="5" t="inlineStr">
        <is>
          <t>02_TV</t>
        </is>
      </c>
      <c r="B9" s="5" t="inlineStr">
        <is>
          <t>3사 TV 상품 (채널/가격/결합할인)</t>
        </is>
      </c>
      <c r="C9" s="5" t="inlineStr">
        <is>
          <t>필수</t>
        </is>
      </c>
    </row>
    <row r="10">
      <c r="A10" s="5" t="inlineStr">
        <is>
          <t>03_TV_Internet</t>
        </is>
      </c>
      <c r="B10" s="5" t="inlineStr">
        <is>
          <t>TV 결합 시 인터넷 요금 (WiFi 유/무)</t>
        </is>
      </c>
      <c r="C10" s="5" t="inlineStr">
        <is>
          <t>필수</t>
        </is>
      </c>
    </row>
    <row r="11">
      <c r="A11" s="5" t="inlineStr">
        <is>
          <t>04_SetTop</t>
        </is>
      </c>
      <c r="B11" s="5" t="inlineStr">
        <is>
          <t>3사 셋톱박스 옵션 (기본/활성/요금)</t>
        </is>
      </c>
      <c r="C11" s="5" t="inlineStr">
        <is>
          <t>필수</t>
        </is>
      </c>
    </row>
    <row r="12">
      <c r="A12" s="5" t="inlineStr">
        <is>
          <t>05_WiFi</t>
        </is>
      </c>
      <c r="B12" s="5" t="inlineStr">
        <is>
          <t>3사 WiFi 옵션 (속도별 추가요금)</t>
        </is>
      </c>
      <c r="C12" s="5" t="inlineStr">
        <is>
          <t>필수</t>
        </is>
      </c>
    </row>
    <row r="13">
      <c r="A13" s="5" t="inlineStr">
        <is>
          <t>06_Install</t>
        </is>
      </c>
      <c r="B13" s="5" t="inlineStr">
        <is>
          <t>3사 설치비 (단독/결합)</t>
        </is>
      </c>
      <c r="C13" s="5" t="inlineStr">
        <is>
          <t>필수</t>
        </is>
      </c>
    </row>
    <row r="14">
      <c r="A14" s="5" t="inlineStr">
        <is>
          <t>07_Gift</t>
        </is>
      </c>
      <c r="B14" s="5" t="inlineStr">
        <is>
          <t>3사 사은품 (속도 × TV결합 매트릭스)</t>
        </is>
      </c>
      <c r="C14" s="5" t="inlineStr">
        <is>
          <t>필수</t>
        </is>
      </c>
    </row>
    <row r="15">
      <c r="A15" s="5" t="inlineStr">
        <is>
          <t>08_Cards</t>
        </is>
      </c>
      <c r="B15" s="5" t="inlineStr">
        <is>
          <t>3사 제휴카드 (카드사/실적/할인)</t>
        </is>
      </c>
      <c r="C15" s="5" t="inlineStr">
        <is>
          <t>참고</t>
        </is>
      </c>
    </row>
    <row r="16">
      <c r="A16" s="5" t="inlineStr">
        <is>
          <t>10_SKT_Bundle</t>
        </is>
      </c>
      <c r="B16" s="5" t="inlineStr">
        <is>
          <t>SKT 요즘가족결합 (속도 × 회선수)</t>
        </is>
      </c>
      <c r="C16" s="5" t="inlineStr">
        <is>
          <t>결합</t>
        </is>
      </c>
    </row>
    <row r="17">
      <c r="A17" s="5" t="inlineStr">
        <is>
          <t>11_KT_Total</t>
        </is>
      </c>
      <c r="B17" s="5" t="inlineStr">
        <is>
          <t>KT 총액결합 (6구간 × 속도별)</t>
        </is>
      </c>
      <c r="C17" s="5" t="inlineStr">
        <is>
          <t>결합</t>
        </is>
      </c>
    </row>
    <row r="18">
      <c r="A18" s="5" t="inlineStr">
        <is>
          <t>12_KT_Fixed</t>
        </is>
      </c>
      <c r="B18" s="5" t="inlineStr">
        <is>
          <t>KT 정액결합 (4구간)</t>
        </is>
      </c>
      <c r="C18" s="5" t="inlineStr">
        <is>
          <t>결합</t>
        </is>
      </c>
    </row>
    <row r="19">
      <c r="A19" s="5" t="inlineStr">
        <is>
          <t>13_KT_Premium</t>
        </is>
      </c>
      <c r="B19" s="5" t="inlineStr">
        <is>
          <t>KT 💎 프리미엄 가족결합 (요금제 카탈로그)</t>
        </is>
      </c>
      <c r="C19" s="5" t="inlineStr">
        <is>
          <t>결합</t>
        </is>
      </c>
    </row>
    <row r="20">
      <c r="A20" s="5" t="inlineStr">
        <is>
          <t>14_LGU_Chweyswun</t>
        </is>
      </c>
      <c r="B20" s="5" t="inlineStr">
        <is>
          <t>LGU+ 참쉬운가족결합 (요금구간 × 회선수)</t>
        </is>
      </c>
      <c r="C20" s="5" t="inlineStr">
        <is>
          <t>결합</t>
        </is>
      </c>
    </row>
    <row r="21">
      <c r="A21" s="5" t="inlineStr">
        <is>
          <t>15_LGU_Together</t>
        </is>
      </c>
      <c r="B21" s="5" t="inlineStr">
        <is>
          <t>LGU+ 투게더 결합 (고가요금제)</t>
        </is>
      </c>
      <c r="C21" s="5" t="inlineStr">
        <is>
          <t>결합</t>
        </is>
      </c>
    </row>
    <row r="22">
      <c r="A22" s="5" t="inlineStr">
        <is>
          <t>20_Schema</t>
        </is>
      </c>
      <c r="B22" s="5" t="inlineStr">
        <is>
          <t>D 객체 JSON 스키마 (개발 참조)</t>
        </is>
      </c>
      <c r="C22" s="5" t="inlineStr">
        <is>
          <t>개발</t>
        </is>
      </c>
    </row>
    <row r="25" ht="24" customHeight="1">
      <c r="A25" s="3" t="inlineStr">
        <is>
          <t>🔗 데이터 일관성 원칙</t>
        </is>
      </c>
    </row>
    <row r="27">
      <c r="A27" s="6" t="inlineStr">
        <is>
          <t>1. 모든 데이터는 docs/calculator.html의 D 객체에서 추출</t>
        </is>
      </c>
    </row>
    <row r="28">
      <c r="A28" s="6" t="inlineStr">
        <is>
          <t>2. calculator.html 수정 시 이 엑셀도 반드시 재생성 (python3 /tmp/gen-excel-dev.py)</t>
        </is>
      </c>
    </row>
    <row r="29">
      <c r="A29" s="6" t="inlineStr">
        <is>
          <t>3. 3사 공통 속성: internet, wifiCost/wifiPrice, setTopOptions, tvInternetNoWifi/WithWifi, tv, install, gift</t>
        </is>
      </c>
    </row>
    <row r="30">
      <c r="A30" s="6" t="inlineStr">
        <is>
          <t>4. 통신사별 고유: bundle (SKT.family / KT.total,fixed,premium / LGU.chweyswun,together)</t>
        </is>
      </c>
    </row>
    <row r="31">
      <c r="A31" s="6" t="inlineStr">
        <is>
          <t>5. WiFi 요금: SKT wifiCost 단일값 / KT wifiPrice 속도별 / LGU wifiCost=0 전속도 무료</t>
        </is>
      </c>
    </row>
  </sheetData>
  <mergeCells count="7">
    <mergeCell ref="A28:C28"/>
    <mergeCell ref="A1:C1"/>
    <mergeCell ref="A31:C31"/>
    <mergeCell ref="A27:C27"/>
    <mergeCell ref="A30:C30"/>
    <mergeCell ref="A29:C29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3" t="inlineStr">
        <is>
          <t>📡 인터넷 단독 요금 (3사 공통)</t>
        </is>
      </c>
    </row>
    <row r="3">
      <c r="A3" s="4" t="inlineStr">
        <is>
          <t>통신사</t>
        </is>
      </c>
      <c r="B3" s="4" t="inlineStr">
        <is>
          <t>프리픽스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 (B tv)</t>
        </is>
      </c>
      <c r="B4" s="5" t="inlineStr">
        <is>
          <t>SK</t>
        </is>
      </c>
      <c r="C4" s="5" t="n">
        <v>22000</v>
      </c>
      <c r="D4" s="5" t="n">
        <v>33000</v>
      </c>
      <c r="E4" s="5" t="n">
        <v>38500</v>
      </c>
    </row>
    <row r="5">
      <c r="A5" s="5" t="inlineStr">
        <is>
          <t>KT (지니TV)</t>
        </is>
      </c>
      <c r="B5" s="5" t="inlineStr">
        <is>
          <t>KT</t>
        </is>
      </c>
      <c r="C5" s="5" t="n">
        <v>22000</v>
      </c>
      <c r="D5" s="5" t="n">
        <v>33000</v>
      </c>
      <c r="E5" s="5" t="n">
        <v>38500</v>
      </c>
    </row>
    <row r="6">
      <c r="A6" s="5" t="inlineStr">
        <is>
          <t>LG U+ (U+tv)</t>
        </is>
      </c>
      <c r="B6" s="5" t="inlineStr">
        <is>
          <t>LG</t>
        </is>
      </c>
      <c r="C6" s="5" t="n">
        <v>22000</v>
      </c>
      <c r="D6" s="5" t="n">
        <v>33000</v>
      </c>
      <c r="E6" s="5" t="n">
        <v>38500</v>
      </c>
    </row>
    <row r="8">
      <c r="A8" s="7" t="inlineStr">
        <is>
          <t>※ 3사 모두 3년 약정 기준 · 부가세 포함 · WiFi/셋톱 별도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 ht="24" customHeight="1">
      <c r="A1" s="3" t="inlineStr">
        <is>
          <t>📺 TV 상품 (3사 전체)</t>
        </is>
      </c>
    </row>
    <row r="3">
      <c r="A3" s="4" t="inlineStr">
        <is>
          <t>통신사</t>
        </is>
      </c>
      <c r="B3" s="4" t="inlineStr">
        <is>
          <t>TV 상품</t>
        </is>
      </c>
      <c r="C3" s="4" t="inlineStr">
        <is>
          <t>채널수</t>
        </is>
      </c>
      <c r="D3" s="4" t="inlineStr">
        <is>
          <t>TV 단독</t>
        </is>
      </c>
      <c r="E3" s="4" t="inlineStr">
        <is>
          <t>결합할인</t>
        </is>
      </c>
      <c r="F3" s="4" t="inlineStr">
        <is>
          <t>인터넷 결합 시</t>
        </is>
      </c>
    </row>
    <row r="4">
      <c r="A4" s="8" t="inlineStr">
        <is>
          <t>SKT</t>
        </is>
      </c>
      <c r="B4" s="9" t="inlineStr">
        <is>
          <t>B tv 이코노미</t>
        </is>
      </c>
      <c r="C4" s="9" t="n">
        <v>182</v>
      </c>
      <c r="D4" s="9" t="n">
        <v>12100</v>
      </c>
      <c r="E4" s="9" t="n">
        <v>2200</v>
      </c>
      <c r="F4" s="9" t="n">
        <v>9900</v>
      </c>
    </row>
    <row r="5">
      <c r="A5" s="8" t="inlineStr">
        <is>
          <t>SKT</t>
        </is>
      </c>
      <c r="B5" s="9" t="inlineStr">
        <is>
          <t>B tv 스탠다드</t>
        </is>
      </c>
      <c r="C5" s="9" t="n">
        <v>236</v>
      </c>
      <c r="D5" s="9" t="n">
        <v>15400</v>
      </c>
      <c r="E5" s="9" t="n">
        <v>2200</v>
      </c>
      <c r="F5" s="9" t="n">
        <v>13200</v>
      </c>
    </row>
    <row r="6">
      <c r="A6" s="8" t="inlineStr">
        <is>
          <t>SKT</t>
        </is>
      </c>
      <c r="B6" s="9" t="inlineStr">
        <is>
          <t>B tv 올</t>
        </is>
      </c>
      <c r="C6" s="9" t="n">
        <v>252</v>
      </c>
      <c r="D6" s="9" t="n">
        <v>18700</v>
      </c>
      <c r="E6" s="9" t="n">
        <v>2200</v>
      </c>
      <c r="F6" s="9" t="n">
        <v>16500</v>
      </c>
    </row>
    <row r="7">
      <c r="A7" s="8" t="inlineStr">
        <is>
          <t>SKT</t>
        </is>
      </c>
      <c r="B7" s="9" t="inlineStr">
        <is>
          <t>B tv 스탠다드 플러스</t>
        </is>
      </c>
      <c r="C7" s="9" t="n">
        <v>222</v>
      </c>
      <c r="D7" s="9" t="n">
        <v>23100</v>
      </c>
      <c r="E7" s="9" t="n">
        <v>2200</v>
      </c>
      <c r="F7" s="9" t="n">
        <v>20900</v>
      </c>
    </row>
    <row r="8">
      <c r="A8" s="8" t="inlineStr">
        <is>
          <t>SKT</t>
        </is>
      </c>
      <c r="B8" s="9" t="inlineStr">
        <is>
          <t>B tv 올 플러스</t>
        </is>
      </c>
      <c r="C8" s="9" t="n">
        <v>252</v>
      </c>
      <c r="D8" s="9" t="n">
        <v>24200</v>
      </c>
      <c r="E8" s="9" t="n">
        <v>2200</v>
      </c>
      <c r="F8" s="9" t="n">
        <v>22000</v>
      </c>
    </row>
    <row r="9">
      <c r="A9" s="8" t="inlineStr">
        <is>
          <t>SKT</t>
        </is>
      </c>
      <c r="B9" s="9" t="inlineStr">
        <is>
          <t>B tv 스탠다드 넷플릭스</t>
        </is>
      </c>
      <c r="C9" s="9" t="n">
        <v>222</v>
      </c>
      <c r="D9" s="9" t="n">
        <v>27700</v>
      </c>
      <c r="E9" s="9" t="n">
        <v>2200</v>
      </c>
      <c r="F9" s="9" t="n">
        <v>25500</v>
      </c>
    </row>
    <row r="10">
      <c r="A10" s="8" t="inlineStr">
        <is>
          <t>SKT</t>
        </is>
      </c>
      <c r="B10" s="9" t="inlineStr">
        <is>
          <t>B tv 올 넷플릭스</t>
        </is>
      </c>
      <c r="C10" s="9" t="n">
        <v>222</v>
      </c>
      <c r="D10" s="9" t="n">
        <v>30200</v>
      </c>
      <c r="E10" s="9" t="n">
        <v>2200</v>
      </c>
      <c r="F10" s="9" t="n">
        <v>28000</v>
      </c>
    </row>
    <row r="11">
      <c r="A11" s="8" t="inlineStr">
        <is>
          <t>SKT</t>
        </is>
      </c>
      <c r="B11" s="9" t="inlineStr">
        <is>
          <t>B tv 스탠다드 넷플릭스 프리미엄</t>
        </is>
      </c>
      <c r="C11" s="9" t="n">
        <v>252</v>
      </c>
      <c r="D11" s="9" t="n">
        <v>30700</v>
      </c>
      <c r="E11" s="9" t="n">
        <v>2200</v>
      </c>
      <c r="F11" s="9" t="n">
        <v>28500</v>
      </c>
    </row>
    <row r="12">
      <c r="A12" s="8" t="inlineStr">
        <is>
          <t>SKT</t>
        </is>
      </c>
      <c r="B12" s="9" t="inlineStr">
        <is>
          <t>B tv 올 넷플릭스 프리미엄</t>
        </is>
      </c>
      <c r="C12" s="9" t="n">
        <v>252</v>
      </c>
      <c r="D12" s="9" t="n">
        <v>33200</v>
      </c>
      <c r="E12" s="9" t="n">
        <v>2200</v>
      </c>
      <c r="F12" s="9" t="n">
        <v>31000</v>
      </c>
    </row>
    <row r="13">
      <c r="A13" s="10" t="inlineStr">
        <is>
          <t>KT</t>
        </is>
      </c>
      <c r="B13" s="11" t="inlineStr">
        <is>
          <t>지니TV 베이직</t>
        </is>
      </c>
      <c r="C13" s="11" t="n">
        <v>238</v>
      </c>
      <c r="D13" s="11" t="n">
        <v>14740</v>
      </c>
      <c r="E13" s="11" t="n">
        <v>2640</v>
      </c>
      <c r="F13" s="11" t="n">
        <v>12100</v>
      </c>
    </row>
    <row r="14">
      <c r="A14" s="10" t="inlineStr">
        <is>
          <t>KT</t>
        </is>
      </c>
      <c r="B14" s="11" t="inlineStr">
        <is>
          <t>지니TV 라이트</t>
        </is>
      </c>
      <c r="C14" s="11" t="n">
        <v>240</v>
      </c>
      <c r="D14" s="11" t="n">
        <v>15840</v>
      </c>
      <c r="E14" s="11" t="n">
        <v>2640</v>
      </c>
      <c r="F14" s="11" t="n">
        <v>13200</v>
      </c>
    </row>
    <row r="15">
      <c r="A15" s="10" t="inlineStr">
        <is>
          <t>KT</t>
        </is>
      </c>
      <c r="B15" s="11" t="inlineStr">
        <is>
          <t>지니TV 에센스</t>
        </is>
      </c>
      <c r="C15" s="11" t="n">
        <v>263</v>
      </c>
      <c r="D15" s="11" t="n">
        <v>20240</v>
      </c>
      <c r="E15" s="11" t="n">
        <v>3740</v>
      </c>
      <c r="F15" s="11" t="n">
        <v>16500</v>
      </c>
    </row>
    <row r="16">
      <c r="A16" s="10" t="inlineStr">
        <is>
          <t>KT</t>
        </is>
      </c>
      <c r="B16" s="11" t="inlineStr">
        <is>
          <t>지니TV 모든G</t>
        </is>
      </c>
      <c r="C16" s="11" t="n">
        <v>250</v>
      </c>
      <c r="D16" s="11" t="n">
        <v>21340</v>
      </c>
      <c r="E16" s="11" t="n">
        <v>4400</v>
      </c>
      <c r="F16" s="11" t="n">
        <v>16940</v>
      </c>
    </row>
    <row r="17">
      <c r="A17" s="10" t="inlineStr">
        <is>
          <t>KT</t>
        </is>
      </c>
      <c r="B17" s="11" t="inlineStr">
        <is>
          <t>지니TV 디즈니+모든G</t>
        </is>
      </c>
      <c r="C17" s="11" t="n">
        <v>250</v>
      </c>
      <c r="D17" s="11" t="n">
        <v>28100</v>
      </c>
      <c r="E17" s="11" t="n">
        <v>6600</v>
      </c>
      <c r="F17" s="11" t="n">
        <v>21500</v>
      </c>
    </row>
    <row r="18">
      <c r="A18" s="12" t="inlineStr">
        <is>
          <t>LG U+</t>
        </is>
      </c>
      <c r="B18" s="13" t="inlineStr">
        <is>
          <t>U+tv 실속형</t>
        </is>
      </c>
      <c r="C18" s="13" t="n">
        <v>217</v>
      </c>
      <c r="D18" s="13" t="n">
        <v>15400</v>
      </c>
      <c r="E18" s="13" t="n">
        <v>2200</v>
      </c>
      <c r="F18" s="13" t="n">
        <v>13200</v>
      </c>
    </row>
    <row r="19">
      <c r="A19" s="12" t="inlineStr">
        <is>
          <t>LG U+</t>
        </is>
      </c>
      <c r="B19" s="13" t="inlineStr">
        <is>
          <t>U+tv 기본형</t>
        </is>
      </c>
      <c r="C19" s="13" t="n">
        <v>223</v>
      </c>
      <c r="D19" s="13" t="n">
        <v>16500</v>
      </c>
      <c r="E19" s="13" t="n">
        <v>2200</v>
      </c>
      <c r="F19" s="13" t="n">
        <v>14300</v>
      </c>
    </row>
    <row r="20">
      <c r="A20" s="12" t="inlineStr">
        <is>
          <t>LG U+</t>
        </is>
      </c>
      <c r="B20" s="13" t="inlineStr">
        <is>
          <t>U+tv 프리미엄</t>
        </is>
      </c>
      <c r="C20" s="13" t="n">
        <v>252</v>
      </c>
      <c r="D20" s="13" t="n">
        <v>18700</v>
      </c>
      <c r="E20" s="13" t="n">
        <v>2200</v>
      </c>
      <c r="F20" s="13" t="n">
        <v>16500</v>
      </c>
    </row>
    <row r="21">
      <c r="A21" s="12" t="inlineStr">
        <is>
          <t>LG U+</t>
        </is>
      </c>
      <c r="B21" s="13" t="inlineStr">
        <is>
          <t>U+tv 프리미엄 VOD</t>
        </is>
      </c>
      <c r="C21" s="13" t="n">
        <v>257</v>
      </c>
      <c r="D21" s="13" t="n">
        <v>24200</v>
      </c>
      <c r="E21" s="13" t="n">
        <v>5500</v>
      </c>
      <c r="F21" s="13" t="n">
        <v>18700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2" customWidth="1" min="4" max="4"/>
    <col width="12" customWidth="1" min="5" max="5"/>
  </cols>
  <sheetData>
    <row r="1" ht="24" customHeight="1">
      <c r="A1" s="3" t="inlineStr">
        <is>
          <t>🔗 TV 결합 시 인터넷 요금 (WiFi 유/무)</t>
        </is>
      </c>
    </row>
    <row r="3">
      <c r="A3" s="4" t="inlineStr">
        <is>
          <t>통신사</t>
        </is>
      </c>
      <c r="B3" s="4" t="inlineStr">
        <is>
          <t>WiFi 유무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WiFi 미포함</t>
        </is>
      </c>
      <c r="C4" s="5" t="n">
        <v>19800</v>
      </c>
      <c r="D4" s="5" t="n">
        <v>27500</v>
      </c>
      <c r="E4" s="5" t="n">
        <v>33000</v>
      </c>
    </row>
    <row r="5">
      <c r="A5" s="5" t="inlineStr">
        <is>
          <t>SKT</t>
        </is>
      </c>
      <c r="B5" s="5" t="inlineStr">
        <is>
          <t>WiFi 포함</t>
        </is>
      </c>
      <c r="C5" s="5" t="n">
        <v>22000</v>
      </c>
      <c r="D5" s="5" t="n">
        <v>28600</v>
      </c>
      <c r="E5" s="5" t="n">
        <v>34100</v>
      </c>
    </row>
    <row r="6">
      <c r="A6" s="5" t="inlineStr">
        <is>
          <t>KT</t>
        </is>
      </c>
      <c r="B6" s="5" t="inlineStr">
        <is>
          <t>WiFi 미포함</t>
        </is>
      </c>
      <c r="C6" s="5" t="n">
        <v>22000</v>
      </c>
      <c r="D6" s="5" t="n">
        <v>27500</v>
      </c>
      <c r="E6" s="5" t="n">
        <v>33000</v>
      </c>
    </row>
    <row r="7">
      <c r="A7" s="5" t="inlineStr">
        <is>
          <t>KT</t>
        </is>
      </c>
      <c r="B7" s="5" t="inlineStr">
        <is>
          <t>WiFi 포함 (1G는 동일)</t>
        </is>
      </c>
      <c r="C7" s="5" t="n">
        <v>23100</v>
      </c>
      <c r="D7" s="5" t="n">
        <v>28600</v>
      </c>
      <c r="E7" s="5" t="n">
        <v>33000</v>
      </c>
    </row>
    <row r="8">
      <c r="A8" s="5" t="inlineStr">
        <is>
          <t>LG U+</t>
        </is>
      </c>
      <c r="B8" s="5" t="inlineStr">
        <is>
          <t>WiFi 미포함=포함</t>
        </is>
      </c>
      <c r="C8" s="5" t="n">
        <v>22000</v>
      </c>
      <c r="D8" s="5" t="n">
        <v>27500</v>
      </c>
      <c r="E8" s="5" t="n">
        <v>33000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0" customWidth="1" min="4" max="4"/>
    <col width="10" customWidth="1" min="5" max="5"/>
    <col width="20" customWidth="1" min="6" max="6"/>
  </cols>
  <sheetData>
    <row r="1" ht="24" customHeight="1">
      <c r="A1" s="3" t="inlineStr">
        <is>
          <t>📦 셋톱박스 옵션 (3사 전체)</t>
        </is>
      </c>
    </row>
    <row r="3">
      <c r="A3" s="4" t="inlineStr">
        <is>
          <t>통신사</t>
        </is>
      </c>
      <c r="B3" s="4" t="inlineStr">
        <is>
          <t>ID</t>
        </is>
      </c>
      <c r="C3" s="4" t="inlineStr">
        <is>
          <t>모델명</t>
        </is>
      </c>
      <c r="D3" s="4" t="inlineStr">
        <is>
          <t>월 임대료</t>
        </is>
      </c>
      <c r="E3" s="4" t="inlineStr">
        <is>
          <t>기본</t>
        </is>
      </c>
      <c r="F3" s="4" t="inlineStr">
        <is>
          <t>활성</t>
        </is>
      </c>
    </row>
    <row r="4">
      <c r="A4" s="8" t="inlineStr">
        <is>
          <t>SKT</t>
        </is>
      </c>
      <c r="B4" s="9" t="inlineStr">
        <is>
          <t>smart3</t>
        </is>
      </c>
      <c r="C4" s="9" t="inlineStr">
        <is>
          <t>스마트3</t>
        </is>
      </c>
      <c r="D4" s="9" t="n">
        <v>4400</v>
      </c>
      <c r="E4" s="9" t="inlineStr">
        <is>
          <t>O</t>
        </is>
      </c>
      <c r="F4" s="9" t="inlineStr">
        <is>
          <t>O</t>
        </is>
      </c>
    </row>
    <row r="5">
      <c r="A5" s="8" t="inlineStr">
        <is>
          <t>SKT</t>
        </is>
      </c>
      <c r="B5" s="9" t="inlineStr">
        <is>
          <t>smart3-mini</t>
        </is>
      </c>
      <c r="C5" s="9" t="inlineStr">
        <is>
          <t>스마트3 미니</t>
        </is>
      </c>
      <c r="D5" s="9" t="n">
        <v>4400</v>
      </c>
      <c r="E5" s="9" t="inlineStr">
        <is>
          <t>X</t>
        </is>
      </c>
      <c r="F5" s="9" t="inlineStr">
        <is>
          <t>O</t>
        </is>
      </c>
    </row>
    <row r="6">
      <c r="A6" s="8" t="inlineStr">
        <is>
          <t>SKT</t>
        </is>
      </c>
      <c r="B6" s="9" t="inlineStr">
        <is>
          <t>ai-nugu</t>
        </is>
      </c>
      <c r="C6" s="9" t="inlineStr">
        <is>
          <t>AI NUGU</t>
        </is>
      </c>
      <c r="D6" s="9" t="n">
        <v>6600</v>
      </c>
      <c r="E6" s="9" t="inlineStr">
        <is>
          <t>X</t>
        </is>
      </c>
      <c r="F6" s="9" t="inlineStr">
        <is>
          <t>O</t>
        </is>
      </c>
    </row>
    <row r="7">
      <c r="A7" s="8" t="inlineStr">
        <is>
          <t>SKT</t>
        </is>
      </c>
      <c r="B7" s="9" t="inlineStr">
        <is>
          <t>sound-max</t>
        </is>
      </c>
      <c r="C7" s="9" t="inlineStr">
        <is>
          <t>사운드 맥스</t>
        </is>
      </c>
      <c r="D7" s="9" t="n">
        <v>8800</v>
      </c>
      <c r="E7" s="9" t="inlineStr">
        <is>
          <t>X</t>
        </is>
      </c>
      <c r="F7" s="9" t="inlineStr">
        <is>
          <t>O</t>
        </is>
      </c>
    </row>
    <row r="8">
      <c r="A8" s="8" t="inlineStr">
        <is>
          <t>SKT</t>
        </is>
      </c>
      <c r="B8" s="9" t="inlineStr">
        <is>
          <t>apple-tv</t>
        </is>
      </c>
      <c r="C8" s="9" t="inlineStr">
        <is>
          <t>애플TV</t>
        </is>
      </c>
      <c r="D8" s="9" t="n">
        <v>6600</v>
      </c>
      <c r="E8" s="9" t="inlineStr">
        <is>
          <t>X</t>
        </is>
      </c>
      <c r="F8" s="9" t="inlineStr">
        <is>
          <t>O</t>
        </is>
      </c>
    </row>
    <row r="9">
      <c r="A9" s="10" t="inlineStr">
        <is>
          <t>KT</t>
        </is>
      </c>
      <c r="B9" s="11" t="inlineStr">
        <is>
          <t>genie-3</t>
        </is>
      </c>
      <c r="C9" s="11" t="inlineStr">
        <is>
          <t>기가지니3</t>
        </is>
      </c>
      <c r="D9" s="11" t="n">
        <v>4400</v>
      </c>
      <c r="E9" s="11" t="inlineStr">
        <is>
          <t>O</t>
        </is>
      </c>
      <c r="F9" s="11" t="inlineStr">
        <is>
          <t>O</t>
        </is>
      </c>
    </row>
    <row r="10">
      <c r="A10" s="10" t="inlineStr">
        <is>
          <t>KT</t>
        </is>
      </c>
      <c r="B10" s="11" t="inlineStr">
        <is>
          <t>genie-a</t>
        </is>
      </c>
      <c r="C10" s="11" t="inlineStr">
        <is>
          <t>기가지니A</t>
        </is>
      </c>
      <c r="D10" s="11" t="n">
        <v>3300</v>
      </c>
      <c r="E10" s="11" t="inlineStr">
        <is>
          <t>X</t>
        </is>
      </c>
      <c r="F10" s="11" t="inlineStr">
        <is>
          <t>O</t>
        </is>
      </c>
    </row>
    <row r="11">
      <c r="A11" s="10" t="inlineStr">
        <is>
          <t>KT</t>
        </is>
      </c>
      <c r="B11" s="11" t="inlineStr">
        <is>
          <t>soundbar</t>
        </is>
      </c>
      <c r="C11" s="11" t="inlineStr">
        <is>
          <t>지니TV 올인원 사운드바</t>
        </is>
      </c>
      <c r="D11" s="11" t="n">
        <v>8800</v>
      </c>
      <c r="E11" s="11" t="inlineStr">
        <is>
          <t>X</t>
        </is>
      </c>
      <c r="F11" s="11" t="inlineStr">
        <is>
          <t>O</t>
        </is>
      </c>
    </row>
    <row r="12">
      <c r="A12" s="12" t="inlineStr">
        <is>
          <t>LG U+</t>
        </is>
      </c>
      <c r="B12" s="13" t="inlineStr">
        <is>
          <t>uhd4</t>
        </is>
      </c>
      <c r="C12" s="13" t="inlineStr">
        <is>
          <t>U+tv UHD4</t>
        </is>
      </c>
      <c r="D12" s="13" t="n">
        <v>4400</v>
      </c>
      <c r="E12" s="13" t="inlineStr">
        <is>
          <t>O</t>
        </is>
      </c>
      <c r="F12" s="13" t="inlineStr">
        <is>
          <t>O</t>
        </is>
      </c>
    </row>
    <row r="13">
      <c r="A13" s="12" t="inlineStr">
        <is>
          <t>LG U+</t>
        </is>
      </c>
      <c r="B13" s="13" t="inlineStr">
        <is>
          <t>soundbar-black</t>
        </is>
      </c>
      <c r="C13" s="13" t="inlineStr">
        <is>
          <t>U+tv 사운드바 블랙</t>
        </is>
      </c>
      <c r="D13" s="13" t="n">
        <v>6600</v>
      </c>
      <c r="E13" s="13" t="inlineStr">
        <is>
          <t>X</t>
        </is>
      </c>
      <c r="F13" s="13" t="inlineStr">
        <is>
          <t>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8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</cols>
  <sheetData>
    <row r="1" ht="24" customHeight="1">
      <c r="A1" s="3" t="inlineStr">
        <is>
          <t>📡 WiFi 옵션 (3사 전체)</t>
        </is>
      </c>
    </row>
    <row r="3">
      <c r="A3" s="4" t="inlineStr">
        <is>
          <t>통신사</t>
        </is>
      </c>
      <c r="B3" s="4" t="inlineStr">
        <is>
          <t>ID</t>
        </is>
      </c>
      <c r="C3" s="4" t="inlineStr">
        <is>
          <t>모델명</t>
        </is>
      </c>
      <c r="D3" s="4" t="inlineStr">
        <is>
          <t>100M</t>
        </is>
      </c>
      <c r="E3" s="4" t="inlineStr">
        <is>
          <t>500M</t>
        </is>
      </c>
      <c r="F3" s="4" t="inlineStr">
        <is>
          <t>1G</t>
        </is>
      </c>
      <c r="G3" s="4" t="inlineStr">
        <is>
          <t>기본</t>
        </is>
      </c>
      <c r="H3" s="4" t="inlineStr">
        <is>
          <t>활성</t>
        </is>
      </c>
    </row>
    <row r="4">
      <c r="A4" s="8" t="inlineStr">
        <is>
          <t>SKT</t>
        </is>
      </c>
      <c r="B4" s="9" t="inlineStr">
        <is>
          <t>giga-wifi</t>
        </is>
      </c>
      <c r="C4" s="9" t="inlineStr">
        <is>
          <t>GIGA WiFi</t>
        </is>
      </c>
      <c r="D4" s="9" t="n">
        <v>1100</v>
      </c>
      <c r="E4" s="9" t="n">
        <v>1100</v>
      </c>
      <c r="F4" s="9" t="n">
        <v>1100</v>
      </c>
      <c r="G4" s="9" t="inlineStr">
        <is>
          <t>O</t>
        </is>
      </c>
      <c r="H4" s="9" t="inlineStr">
        <is>
          <t>O</t>
        </is>
      </c>
    </row>
    <row r="5">
      <c r="A5" s="8" t="inlineStr">
        <is>
          <t>SKT</t>
        </is>
      </c>
      <c r="B5" s="9" t="inlineStr">
        <is>
          <t>giga-wifi-6</t>
        </is>
      </c>
      <c r="C5" s="9" t="inlineStr">
        <is>
          <t>GIGA WiFi 6</t>
        </is>
      </c>
      <c r="D5" s="9" t="n">
        <v>1100</v>
      </c>
      <c r="E5" s="9" t="n">
        <v>1100</v>
      </c>
      <c r="F5" s="9" t="n">
        <v>1100</v>
      </c>
      <c r="G5" s="9" t="inlineStr">
        <is>
          <t>X</t>
        </is>
      </c>
      <c r="H5" s="9" t="inlineStr">
        <is>
          <t>O</t>
        </is>
      </c>
    </row>
    <row r="6">
      <c r="A6" s="8" t="inlineStr">
        <is>
          <t>SKT</t>
        </is>
      </c>
      <c r="B6" s="9" t="inlineStr">
        <is>
          <t>giga-wifi-prem</t>
        </is>
      </c>
      <c r="C6" s="9" t="inlineStr">
        <is>
          <t>GIGA WiFi 프리미엄</t>
        </is>
      </c>
      <c r="D6" s="9" t="n">
        <v>5500</v>
      </c>
      <c r="E6" s="9" t="n">
        <v>5500</v>
      </c>
      <c r="F6" s="9" t="n">
        <v>5500</v>
      </c>
      <c r="G6" s="9" t="inlineStr">
        <is>
          <t>X</t>
        </is>
      </c>
      <c r="H6" s="9" t="inlineStr">
        <is>
          <t>O</t>
        </is>
      </c>
    </row>
    <row r="7">
      <c r="A7" s="8" t="inlineStr">
        <is>
          <t>SKT</t>
        </is>
      </c>
      <c r="B7" s="9" t="inlineStr">
        <is>
          <t>wings</t>
        </is>
      </c>
      <c r="C7" s="9" t="inlineStr">
        <is>
          <t>윙즈</t>
        </is>
      </c>
      <c r="D7" s="9" t="n">
        <v>1650</v>
      </c>
      <c r="E7" s="9" t="n">
        <v>1650</v>
      </c>
      <c r="F7" s="9" t="n">
        <v>1650</v>
      </c>
      <c r="G7" s="9" t="inlineStr">
        <is>
          <t>X</t>
        </is>
      </c>
      <c r="H7" s="9" t="inlineStr">
        <is>
          <t>O</t>
        </is>
      </c>
    </row>
    <row r="8">
      <c r="A8" s="10" t="inlineStr">
        <is>
          <t>KT</t>
        </is>
      </c>
      <c r="B8" s="11" t="inlineStr">
        <is>
          <t>wave2</t>
        </is>
      </c>
      <c r="C8" s="11" t="inlineStr">
        <is>
          <t>KT GIGA WAVE2</t>
        </is>
      </c>
      <c r="D8" s="11" t="n">
        <v>1100</v>
      </c>
      <c r="E8" s="11" t="n">
        <v>1100</v>
      </c>
      <c r="F8" s="11" t="n">
        <v>0</v>
      </c>
      <c r="G8" s="11" t="inlineStr">
        <is>
          <t>O</t>
        </is>
      </c>
      <c r="H8" s="11" t="inlineStr">
        <is>
          <t>O</t>
        </is>
      </c>
    </row>
    <row r="9">
      <c r="A9" s="10" t="inlineStr">
        <is>
          <t>KT</t>
        </is>
      </c>
      <c r="B9" s="11" t="inlineStr">
        <is>
          <t>home-ax</t>
        </is>
      </c>
      <c r="C9" s="11" t="inlineStr">
        <is>
          <t>GIGA WIFI 홈AX</t>
        </is>
      </c>
      <c r="D9" s="11" t="n">
        <v>0</v>
      </c>
      <c r="E9" s="11" t="n">
        <v>1100</v>
      </c>
      <c r="F9" s="11" t="n">
        <v>0</v>
      </c>
      <c r="G9" s="11" t="inlineStr">
        <is>
          <t>X</t>
        </is>
      </c>
      <c r="H9" s="11" t="inlineStr">
        <is>
          <t>O</t>
        </is>
      </c>
    </row>
    <row r="10">
      <c r="A10" s="10" t="inlineStr">
        <is>
          <t>KT</t>
        </is>
      </c>
      <c r="B10" s="11" t="inlineStr">
        <is>
          <t>buddy</t>
        </is>
      </c>
      <c r="C10" s="11" t="inlineStr">
        <is>
          <t>GIGA WIFI BUDDY</t>
        </is>
      </c>
      <c r="D10" s="11" t="n">
        <v>1650</v>
      </c>
      <c r="E10" s="11" t="n">
        <v>1650</v>
      </c>
      <c r="F10" s="11" t="n">
        <v>1650</v>
      </c>
      <c r="G10" s="11" t="inlineStr">
        <is>
          <t>X</t>
        </is>
      </c>
      <c r="H10" s="11" t="inlineStr">
        <is>
          <t>O</t>
        </is>
      </c>
    </row>
    <row r="11">
      <c r="A11" s="10" t="inlineStr">
        <is>
          <t>KT</t>
        </is>
      </c>
      <c r="B11" s="11" t="inlineStr">
        <is>
          <t>prem-24</t>
        </is>
      </c>
      <c r="C11" s="11" t="inlineStr">
        <is>
          <t>GIGA WIFI 프리미엄 2.4</t>
        </is>
      </c>
      <c r="D11" s="11" t="n">
        <v>4400</v>
      </c>
      <c r="E11" s="11" t="n">
        <v>4400</v>
      </c>
      <c r="F11" s="11" t="n">
        <v>4400</v>
      </c>
      <c r="G11" s="11" t="inlineStr">
        <is>
          <t>X</t>
        </is>
      </c>
      <c r="H11" s="11" t="inlineStr">
        <is>
          <t>O</t>
        </is>
      </c>
    </row>
    <row r="12">
      <c r="A12" s="10" t="inlineStr">
        <is>
          <t>KT</t>
        </is>
      </c>
      <c r="B12" s="11" t="inlineStr">
        <is>
          <t>prem-24-6e</t>
        </is>
      </c>
      <c r="C12" s="11" t="inlineStr">
        <is>
          <t>GIGA WIFI 프리미엄 2.4 (6E)</t>
        </is>
      </c>
      <c r="D12" s="11" t="n">
        <v>4400</v>
      </c>
      <c r="E12" s="11" t="n">
        <v>4400</v>
      </c>
      <c r="F12" s="11" t="n">
        <v>4400</v>
      </c>
      <c r="G12" s="11" t="inlineStr">
        <is>
          <t>X</t>
        </is>
      </c>
      <c r="H12" s="11" t="inlineStr">
        <is>
          <t>O</t>
        </is>
      </c>
    </row>
    <row r="13">
      <c r="A13" s="10" t="inlineStr">
        <is>
          <t>KT</t>
        </is>
      </c>
      <c r="B13" s="11" t="inlineStr">
        <is>
          <t>prem-48</t>
        </is>
      </c>
      <c r="C13" s="11" t="inlineStr">
        <is>
          <t>GIGA WIFI 프리미엄 4.8</t>
        </is>
      </c>
      <c r="D13" s="11" t="n">
        <v>4400</v>
      </c>
      <c r="E13" s="11" t="n">
        <v>4400</v>
      </c>
      <c r="F13" s="11" t="n">
        <v>4400</v>
      </c>
      <c r="G13" s="11" t="inlineStr">
        <is>
          <t>X</t>
        </is>
      </c>
      <c r="H13" s="11" t="inlineStr">
        <is>
          <t>O</t>
        </is>
      </c>
    </row>
    <row r="14">
      <c r="A14" s="12" t="inlineStr">
        <is>
          <t>LG U+</t>
        </is>
      </c>
      <c r="B14" s="13" t="inlineStr">
        <is>
          <t>giga-wifi</t>
        </is>
      </c>
      <c r="C14" s="13" t="inlineStr">
        <is>
          <t>기가와이파이</t>
        </is>
      </c>
      <c r="D14" s="13" t="n">
        <v>0</v>
      </c>
      <c r="E14" s="13" t="n">
        <v>0</v>
      </c>
      <c r="F14" s="13" t="n">
        <v>0</v>
      </c>
      <c r="G14" s="13" t="inlineStr">
        <is>
          <t>O</t>
        </is>
      </c>
      <c r="H14" s="13" t="inlineStr">
        <is>
          <t>O</t>
        </is>
      </c>
    </row>
    <row r="15">
      <c r="A15" s="12" t="inlineStr">
        <is>
          <t>LG U+</t>
        </is>
      </c>
      <c r="B15" s="13" t="inlineStr">
        <is>
          <t>giga-wifi-6</t>
        </is>
      </c>
      <c r="C15" s="13" t="inlineStr">
        <is>
          <t>기가와이파이6</t>
        </is>
      </c>
      <c r="D15" s="13" t="n">
        <v>0</v>
      </c>
      <c r="E15" s="13" t="n">
        <v>0</v>
      </c>
      <c r="F15" s="13" t="n">
        <v>0</v>
      </c>
      <c r="G15" s="13" t="inlineStr">
        <is>
          <t>X</t>
        </is>
      </c>
      <c r="H15" s="13" t="inlineStr">
        <is>
          <t>O</t>
        </is>
      </c>
    </row>
    <row r="16">
      <c r="A16" s="12" t="inlineStr">
        <is>
          <t>LG U+</t>
        </is>
      </c>
      <c r="B16" s="13" t="inlineStr">
        <is>
          <t>giga-wifi-mesh</t>
        </is>
      </c>
      <c r="C16" s="13" t="inlineStr">
        <is>
          <t>기가와이파이 메쉬</t>
        </is>
      </c>
      <c r="D16" s="13" t="n">
        <v>0</v>
      </c>
      <c r="E16" s="13" t="n">
        <v>0</v>
      </c>
      <c r="F16" s="13" t="n">
        <v>0</v>
      </c>
      <c r="G16" s="13" t="inlineStr">
        <is>
          <t>X</t>
        </is>
      </c>
      <c r="H16" s="13" t="inlineStr">
        <is>
          <t>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24" customHeight="1">
      <c r="A1" s="3" t="inlineStr">
        <is>
          <t>🔧 설치비 (1회성 · 평일 기준)</t>
        </is>
      </c>
    </row>
    <row r="3">
      <c r="A3" s="4" t="inlineStr">
        <is>
          <t>통신사</t>
        </is>
      </c>
      <c r="B3" s="4" t="inlineStr">
        <is>
          <t>인터넷 단독 (solo)</t>
        </is>
      </c>
      <c r="C3" s="4" t="inlineStr">
        <is>
          <t>인터넷+TV 결합 (combo)</t>
        </is>
      </c>
      <c r="D3" s="4" t="inlineStr">
        <is>
          <t>비고</t>
        </is>
      </c>
    </row>
    <row r="4">
      <c r="A4" s="5" t="inlineStr">
        <is>
          <t>SKT</t>
        </is>
      </c>
      <c r="B4" s="5" t="n">
        <v>36300</v>
      </c>
      <c r="C4" s="5" t="n">
        <v>56100</v>
      </c>
      <c r="D4" s="5" t="inlineStr">
        <is>
          <t>주말 +25%</t>
        </is>
      </c>
    </row>
    <row r="5">
      <c r="A5" s="5" t="inlineStr">
        <is>
          <t>KT</t>
        </is>
      </c>
      <c r="B5" s="5" t="n">
        <v>36000</v>
      </c>
      <c r="C5" s="5" t="n">
        <v>56200</v>
      </c>
      <c r="D5" s="5" t="inlineStr">
        <is>
          <t>주말 +25%</t>
        </is>
      </c>
    </row>
    <row r="6">
      <c r="A6" s="5" t="inlineStr">
        <is>
          <t>LG U+</t>
        </is>
      </c>
      <c r="B6" s="5" t="n">
        <v>36300</v>
      </c>
      <c r="C6" s="5" t="n">
        <v>56100</v>
      </c>
      <c r="D6" s="5" t="inlineStr">
        <is>
          <t>주말 +25%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12" customWidth="1" min="5" max="5"/>
  </cols>
  <sheetData>
    <row r="1" ht="24" customHeight="1">
      <c r="A1" s="3" t="inlineStr">
        <is>
          <t>🎁 사은품 (속도 × TV결합 매트릭스 · 원 단위)</t>
        </is>
      </c>
    </row>
    <row r="3">
      <c r="A3" s="4" t="inlineStr">
        <is>
          <t>통신사</t>
        </is>
      </c>
      <c r="B3" s="4" t="inlineStr">
        <is>
          <t>구분</t>
        </is>
      </c>
      <c r="C3" s="4" t="inlineStr">
        <is>
          <t>100M</t>
        </is>
      </c>
      <c r="D3" s="4" t="inlineStr">
        <is>
          <t>500M</t>
        </is>
      </c>
      <c r="E3" s="4" t="inlineStr">
        <is>
          <t>1G</t>
        </is>
      </c>
    </row>
    <row r="4">
      <c r="A4" s="5" t="inlineStr">
        <is>
          <t>SKT</t>
        </is>
      </c>
      <c r="B4" s="5" t="inlineStr">
        <is>
          <t>solo (TV 없음)</t>
        </is>
      </c>
      <c r="C4" s="5" t="n">
        <v>110000</v>
      </c>
      <c r="D4" s="5" t="n">
        <v>170000</v>
      </c>
      <c r="E4" s="5" t="n">
        <v>170000</v>
      </c>
    </row>
    <row r="5">
      <c r="A5" s="5" t="inlineStr">
        <is>
          <t>SKT</t>
        </is>
      </c>
      <c r="B5" s="5" t="inlineStr">
        <is>
          <t>combo (TV 결합)</t>
        </is>
      </c>
      <c r="C5" s="5" t="n">
        <v>400000</v>
      </c>
      <c r="D5" s="5" t="n">
        <v>430000</v>
      </c>
      <c r="E5" s="5" t="n">
        <v>490000</v>
      </c>
    </row>
    <row r="6">
      <c r="A6" s="5" t="inlineStr">
        <is>
          <t>KT</t>
        </is>
      </c>
      <c r="B6" s="5" t="inlineStr">
        <is>
          <t>solo</t>
        </is>
      </c>
      <c r="C6" s="5" t="n">
        <v>90000</v>
      </c>
      <c r="D6" s="5" t="n">
        <v>140000</v>
      </c>
      <c r="E6" s="5" t="n">
        <v>140000</v>
      </c>
    </row>
    <row r="7">
      <c r="A7" s="5" t="inlineStr">
        <is>
          <t>KT</t>
        </is>
      </c>
      <c r="B7" s="5" t="inlineStr">
        <is>
          <t>combo</t>
        </is>
      </c>
      <c r="C7" s="5" t="n">
        <v>370000</v>
      </c>
      <c r="D7" s="5" t="n">
        <v>450000</v>
      </c>
      <c r="E7" s="5" t="n">
        <v>450000</v>
      </c>
    </row>
    <row r="8">
      <c r="A8" s="5" t="inlineStr">
        <is>
          <t>LG U+</t>
        </is>
      </c>
      <c r="B8" s="5" t="inlineStr">
        <is>
          <t>solo</t>
        </is>
      </c>
      <c r="C8" s="5" t="n">
        <v>200000</v>
      </c>
      <c r="D8" s="5" t="n">
        <v>230000</v>
      </c>
      <c r="E8" s="5" t="n">
        <v>230000</v>
      </c>
    </row>
    <row r="9">
      <c r="A9" s="5" t="inlineStr">
        <is>
          <t>LG U+</t>
        </is>
      </c>
      <c r="B9" s="5" t="inlineStr">
        <is>
          <t>combo</t>
        </is>
      </c>
      <c r="C9" s="5" t="n">
        <v>400000</v>
      </c>
      <c r="D9" s="5" t="n">
        <v>470000</v>
      </c>
      <c r="E9" s="5" t="n">
        <v>470000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0" customWidth="1" min="3" max="3"/>
    <col width="14" customWidth="1" min="4" max="4"/>
    <col width="30" customWidth="1" min="5" max="5"/>
  </cols>
  <sheetData>
    <row r="1" ht="24" customHeight="1">
      <c r="A1" s="3" t="inlineStr">
        <is>
          <t>💳 제휴카드 (3사 전체, 총 26종)</t>
        </is>
      </c>
    </row>
    <row r="3">
      <c r="A3" s="4" t="inlineStr">
        <is>
          <t>통신사</t>
        </is>
      </c>
      <c r="B3" s="4" t="inlineStr">
        <is>
          <t>카드사</t>
        </is>
      </c>
      <c r="C3" s="4" t="inlineStr">
        <is>
          <t>카드명</t>
        </is>
      </c>
      <c r="D3" s="4" t="inlineStr">
        <is>
          <t>실적</t>
        </is>
      </c>
      <c r="E3" s="4" t="inlineStr">
        <is>
          <t>할인</t>
        </is>
      </c>
    </row>
    <row r="4">
      <c r="A4" s="8" t="inlineStr">
        <is>
          <t>SKT</t>
        </is>
      </c>
      <c r="B4" s="9" t="inlineStr">
        <is>
          <t>롯데카드</t>
        </is>
      </c>
      <c r="C4" s="9" t="inlineStr">
        <is>
          <t>SK브로드밴드 B롯데카드</t>
        </is>
      </c>
      <c r="D4" s="9" t="inlineStr">
        <is>
          <t>50만원</t>
        </is>
      </c>
      <c r="E4" s="9" t="inlineStr">
        <is>
          <t>-10,000원</t>
        </is>
      </c>
    </row>
    <row r="5">
      <c r="A5" s="8" t="inlineStr">
        <is>
          <t>SKT</t>
        </is>
      </c>
      <c r="B5" s="9" t="inlineStr">
        <is>
          <t>삼성카드</t>
        </is>
      </c>
      <c r="C5" s="9" t="inlineStr">
        <is>
          <t>SK브로드밴드 삼성카드</t>
        </is>
      </c>
      <c r="D5" s="9" t="inlineStr">
        <is>
          <t>30만원</t>
        </is>
      </c>
      <c r="E5" s="9" t="inlineStr">
        <is>
          <t>-7,000원</t>
        </is>
      </c>
    </row>
    <row r="6">
      <c r="A6" s="10" t="inlineStr">
        <is>
          <t>KT</t>
        </is>
      </c>
      <c r="B6" s="11" t="inlineStr">
        <is>
          <t>KB국민</t>
        </is>
      </c>
      <c r="C6" s="11" t="inlineStr">
        <is>
          <t>KT DC Plus 국민카드</t>
        </is>
      </c>
      <c r="D6" s="11" t="inlineStr">
        <is>
          <t>30만원</t>
        </is>
      </c>
      <c r="E6" s="11" t="inlineStr">
        <is>
          <t>-7,000원</t>
        </is>
      </c>
    </row>
    <row r="7">
      <c r="A7" s="10" t="inlineStr">
        <is>
          <t>KT</t>
        </is>
      </c>
      <c r="B7" s="11" t="inlineStr">
        <is>
          <t>현대</t>
        </is>
      </c>
      <c r="C7" s="11" t="inlineStr">
        <is>
          <t>KT-현대카드M Edition3 (청구할인형)</t>
        </is>
      </c>
      <c r="D7" s="11" t="inlineStr">
        <is>
          <t>30만원</t>
        </is>
      </c>
      <c r="E7" s="11" t="inlineStr">
        <is>
          <t>-13,000원 (1~24개월)</t>
        </is>
      </c>
    </row>
    <row r="8">
      <c r="A8" s="10" t="inlineStr">
        <is>
          <t>KT</t>
        </is>
      </c>
      <c r="B8" s="11" t="inlineStr">
        <is>
          <t>현대</t>
        </is>
      </c>
      <c r="C8" s="11" t="inlineStr">
        <is>
          <t>KT-현대카드M Edition3 (청구할인형2.0)</t>
        </is>
      </c>
      <c r="D8" s="11" t="inlineStr">
        <is>
          <t>100만원</t>
        </is>
      </c>
      <c r="E8" s="11" t="inlineStr">
        <is>
          <t>-22,000원 (1~36개월)</t>
        </is>
      </c>
    </row>
    <row r="9">
      <c r="A9" s="10" t="inlineStr">
        <is>
          <t>KT</t>
        </is>
      </c>
      <c r="B9" s="11" t="inlineStr">
        <is>
          <t>신한</t>
        </is>
      </c>
      <c r="C9" s="11" t="inlineStr">
        <is>
          <t>KT 신한 체크카드</t>
        </is>
      </c>
      <c r="D9" s="11" t="inlineStr">
        <is>
          <t>30만원</t>
        </is>
      </c>
      <c r="E9" s="11" t="inlineStr">
        <is>
          <t>3,000원 캐시백</t>
        </is>
      </c>
    </row>
    <row r="10">
      <c r="A10" s="10" t="inlineStr">
        <is>
          <t>KT</t>
        </is>
      </c>
      <c r="B10" s="11" t="inlineStr">
        <is>
          <t>신한</t>
        </is>
      </c>
      <c r="C10" s="11" t="inlineStr">
        <is>
          <t>KT 가족만족 DC 신한카드</t>
        </is>
      </c>
      <c r="D10" s="11" t="inlineStr">
        <is>
          <t>30만원</t>
        </is>
      </c>
      <c r="E10" s="11" t="inlineStr">
        <is>
          <t>-7,000원</t>
        </is>
      </c>
    </row>
    <row r="11">
      <c r="A11" s="10" t="inlineStr">
        <is>
          <t>KT</t>
        </is>
      </c>
      <c r="B11" s="11" t="inlineStr">
        <is>
          <t>신한</t>
        </is>
      </c>
      <c r="C11" s="11" t="inlineStr">
        <is>
          <t>KT 으랏차차 신한카드</t>
        </is>
      </c>
      <c r="D11" s="11" t="inlineStr">
        <is>
          <t>50만원</t>
        </is>
      </c>
      <c r="E11" s="11" t="inlineStr">
        <is>
          <t>-12,000원</t>
        </is>
      </c>
    </row>
    <row r="12">
      <c r="A12" s="10" t="inlineStr">
        <is>
          <t>KT</t>
        </is>
      </c>
      <c r="B12" s="11" t="inlineStr">
        <is>
          <t>IBK</t>
        </is>
      </c>
      <c r="C12" s="11" t="inlineStr">
        <is>
          <t>olleh super DC IBK카드</t>
        </is>
      </c>
      <c r="D12" s="11" t="inlineStr">
        <is>
          <t>30만원</t>
        </is>
      </c>
      <c r="E12" s="11" t="inlineStr">
        <is>
          <t>-7,000원</t>
        </is>
      </c>
    </row>
    <row r="13">
      <c r="A13" s="10" t="inlineStr">
        <is>
          <t>KT</t>
        </is>
      </c>
      <c r="B13" s="11" t="inlineStr">
        <is>
          <t>IBK</t>
        </is>
      </c>
      <c r="C13" s="11" t="inlineStr">
        <is>
          <t>KT 으랏차차 IBK카드</t>
        </is>
      </c>
      <c r="D13" s="11" t="inlineStr">
        <is>
          <t>자동납부</t>
        </is>
      </c>
      <c r="E13" s="11" t="inlineStr">
        <is>
          <t>5% 청구할인</t>
        </is>
      </c>
    </row>
    <row r="14">
      <c r="A14" s="10" t="inlineStr">
        <is>
          <t>KT</t>
        </is>
      </c>
      <c r="B14" s="11" t="inlineStr">
        <is>
          <t>삼성</t>
        </is>
      </c>
      <c r="C14" s="11" t="inlineStr">
        <is>
          <t>KT 삼성카드</t>
        </is>
      </c>
      <c r="D14" s="11" t="inlineStr">
        <is>
          <t>30만원</t>
        </is>
      </c>
      <c r="E14" s="11" t="inlineStr">
        <is>
          <t>-7,000원</t>
        </is>
      </c>
    </row>
    <row r="15">
      <c r="A15" s="10" t="inlineStr">
        <is>
          <t>KT</t>
        </is>
      </c>
      <c r="B15" s="11" t="inlineStr">
        <is>
          <t>우리</t>
        </is>
      </c>
      <c r="C15" s="11" t="inlineStr">
        <is>
          <t>KT Plus 우리카드</t>
        </is>
      </c>
      <c r="D15" s="11" t="inlineStr">
        <is>
          <t>40만원</t>
        </is>
      </c>
      <c r="E15" s="11" t="inlineStr">
        <is>
          <t>-10,000원 (1~24개월)</t>
        </is>
      </c>
    </row>
    <row r="16">
      <c r="A16" s="10" t="inlineStr">
        <is>
          <t>KT</t>
        </is>
      </c>
      <c r="B16" s="11" t="inlineStr">
        <is>
          <t>우리</t>
        </is>
      </c>
      <c r="C16" s="11" t="inlineStr">
        <is>
          <t>KT 36 Plus 우리카드</t>
        </is>
      </c>
      <c r="D16" s="11" t="inlineStr">
        <is>
          <t>40만원</t>
        </is>
      </c>
      <c r="E16" s="11" t="inlineStr">
        <is>
          <t>-8,000원 (1~24개월)</t>
        </is>
      </c>
    </row>
    <row r="17">
      <c r="A17" s="10" t="inlineStr">
        <is>
          <t>KT</t>
        </is>
      </c>
      <c r="B17" s="11" t="inlineStr">
        <is>
          <t>하나</t>
        </is>
      </c>
      <c r="C17" s="11" t="inlineStr">
        <is>
          <t>KT DC Plus 더 심플 하나카드</t>
        </is>
      </c>
      <c r="D17" s="11" t="inlineStr">
        <is>
          <t>30만원</t>
        </is>
      </c>
      <c r="E17" s="11" t="inlineStr">
        <is>
          <t>-10,000원</t>
        </is>
      </c>
    </row>
    <row r="18">
      <c r="A18" s="10" t="inlineStr">
        <is>
          <t>KT</t>
        </is>
      </c>
      <c r="B18" s="11" t="inlineStr">
        <is>
          <t>NH농협</t>
        </is>
      </c>
      <c r="C18" s="11" t="inlineStr">
        <is>
          <t>KT 할부 Plus NH농협카드</t>
        </is>
      </c>
      <c r="D18" s="11" t="inlineStr">
        <is>
          <t>40만원</t>
        </is>
      </c>
      <c r="E18" s="11" t="inlineStr">
        <is>
          <t>-5,000원 (할부중복불가)</t>
        </is>
      </c>
    </row>
    <row r="19">
      <c r="A19" s="10" t="inlineStr">
        <is>
          <t>KT</t>
        </is>
      </c>
      <c r="B19" s="11" t="inlineStr">
        <is>
          <t>롯데</t>
        </is>
      </c>
      <c r="C19" s="11" t="inlineStr">
        <is>
          <t>KT DC Plus 롯데카드</t>
        </is>
      </c>
      <c r="D19" s="11" t="inlineStr">
        <is>
          <t>40만원</t>
        </is>
      </c>
      <c r="E19" s="11" t="inlineStr">
        <is>
          <t>-10,000원</t>
        </is>
      </c>
    </row>
    <row r="20">
      <c r="A20" s="10" t="inlineStr">
        <is>
          <t>KT</t>
        </is>
      </c>
      <c r="B20" s="11" t="inlineStr">
        <is>
          <t>비씨</t>
        </is>
      </c>
      <c r="C20" s="11" t="inlineStr">
        <is>
          <t>KT SUPER DC BC 바로카드</t>
        </is>
      </c>
      <c r="D20" s="11" t="inlineStr">
        <is>
          <t>40만원</t>
        </is>
      </c>
      <c r="E20" s="11" t="inlineStr">
        <is>
          <t>-5,000원</t>
        </is>
      </c>
    </row>
    <row r="21">
      <c r="A21" s="10" t="inlineStr">
        <is>
          <t>KT</t>
        </is>
      </c>
      <c r="B21" s="11" t="inlineStr">
        <is>
          <t>비씨</t>
        </is>
      </c>
      <c r="C21" s="11" t="inlineStr">
        <is>
          <t>KT DC Plus BC 바로카드</t>
        </is>
      </c>
      <c r="D21" s="11" t="inlineStr">
        <is>
          <t>30만원</t>
        </is>
      </c>
      <c r="E21" s="11" t="inlineStr">
        <is>
          <t>-7,000원</t>
        </is>
      </c>
    </row>
    <row r="22">
      <c r="A22" s="10" t="inlineStr">
        <is>
          <t>KT</t>
        </is>
      </c>
      <c r="B22" s="11" t="inlineStr">
        <is>
          <t>케이뱅크</t>
        </is>
      </c>
      <c r="C22" s="11" t="inlineStr">
        <is>
          <t>KT멤버십x케이뱅크 더블혜택 체크카드</t>
        </is>
      </c>
      <c r="D22" s="11" t="inlineStr">
        <is>
          <t>20만원</t>
        </is>
      </c>
      <c r="E22" s="11" t="inlineStr">
        <is>
          <t>5% 캐시백 (최대 5,000원)</t>
        </is>
      </c>
    </row>
    <row r="23">
      <c r="A23" s="12" t="inlineStr">
        <is>
          <t>LG U+</t>
        </is>
      </c>
      <c r="B23" s="13" t="inlineStr">
        <is>
          <t>삼성카드</t>
        </is>
      </c>
      <c r="C23" s="13" t="inlineStr">
        <is>
          <t>LG U+ 삼성카드</t>
        </is>
      </c>
      <c r="D23" s="13" t="inlineStr">
        <is>
          <t>30만원</t>
        </is>
      </c>
      <c r="E23" s="13" t="inlineStr">
        <is>
          <t>-7,000원</t>
        </is>
      </c>
    </row>
    <row r="24">
      <c r="A24" s="12" t="inlineStr">
        <is>
          <t>LG U+</t>
        </is>
      </c>
      <c r="B24" s="13" t="inlineStr">
        <is>
          <t>현대카드</t>
        </is>
      </c>
      <c r="C24" s="13" t="inlineStr">
        <is>
          <t>LG U+ 현대카드M Edition3</t>
        </is>
      </c>
      <c r="D24" s="13" t="inlineStr">
        <is>
          <t>50만원</t>
        </is>
      </c>
      <c r="E24" s="13" t="inlineStr">
        <is>
          <t>-15,000원 (1~24개월)</t>
        </is>
      </c>
    </row>
    <row r="25">
      <c r="A25" s="12" t="inlineStr">
        <is>
          <t>LG U+</t>
        </is>
      </c>
      <c r="B25" s="13" t="inlineStr">
        <is>
          <t>하나카드</t>
        </is>
      </c>
      <c r="C25" s="13" t="inlineStr">
        <is>
          <t>더 심플 하나카드</t>
        </is>
      </c>
      <c r="D25" s="13" t="inlineStr">
        <is>
          <t>30만원</t>
        </is>
      </c>
      <c r="E25" s="13" t="inlineStr">
        <is>
          <t>-10,000원</t>
        </is>
      </c>
    </row>
    <row r="26">
      <c r="A26" s="12" t="inlineStr">
        <is>
          <t>LG U+</t>
        </is>
      </c>
      <c r="B26" s="13" t="inlineStr">
        <is>
          <t>하나카드</t>
        </is>
      </c>
      <c r="C26" s="13" t="inlineStr">
        <is>
          <t>LG U+Family 하나카드</t>
        </is>
      </c>
      <c r="D26" s="13" t="inlineStr">
        <is>
          <t>30만원</t>
        </is>
      </c>
      <c r="E26" s="13" t="inlineStr">
        <is>
          <t>통신료 25% 청구 (25개월↑ 15%)</t>
        </is>
      </c>
    </row>
    <row r="27">
      <c r="A27" s="12" t="inlineStr">
        <is>
          <t>LG U+</t>
        </is>
      </c>
      <c r="B27" s="13" t="inlineStr">
        <is>
          <t>신한카드</t>
        </is>
      </c>
      <c r="C27" s="13" t="inlineStr">
        <is>
          <t>LG U+ 사장님 통할인</t>
        </is>
      </c>
      <c r="D27" s="13" t="inlineStr">
        <is>
          <t>70만원</t>
        </is>
      </c>
      <c r="E27" s="13" t="inlineStr">
        <is>
          <t>-10,000원 (25개월↑ -6,000)</t>
        </is>
      </c>
    </row>
    <row r="28">
      <c r="A28" s="12" t="inlineStr">
        <is>
          <t>LG U+</t>
        </is>
      </c>
      <c r="B28" s="13" t="inlineStr">
        <is>
          <t>롯데카드</t>
        </is>
      </c>
      <c r="C28" s="13" t="inlineStr">
        <is>
          <t>LG U+ x LOCA</t>
        </is>
      </c>
      <c r="D28" s="13" t="inlineStr">
        <is>
          <t>30만원</t>
        </is>
      </c>
      <c r="E28" s="13" t="inlineStr">
        <is>
          <t>-10,000원 (25개월↑ -6,000)</t>
        </is>
      </c>
    </row>
    <row r="29">
      <c r="A29" s="12" t="inlineStr">
        <is>
          <t>LG U+</t>
        </is>
      </c>
      <c r="B29" s="13" t="inlineStr">
        <is>
          <t>NH카드</t>
        </is>
      </c>
      <c r="C29" s="13" t="inlineStr">
        <is>
          <t>NH올원 LG U+ 카드</t>
        </is>
      </c>
      <c r="D29" s="13" t="inlineStr">
        <is>
          <t>30만원</t>
        </is>
      </c>
      <c r="E29" s="13" t="inlineStr">
        <is>
          <t>-9,000원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4" t="inlineStr">
        <is>
          <t>🏷️ SKT 요즘가족결합 (속도 × 회선수)</t>
        </is>
      </c>
    </row>
    <row r="3">
      <c r="A3" s="4" t="inlineStr">
        <is>
          <t>속도</t>
        </is>
      </c>
      <c r="B3" s="4" t="inlineStr">
        <is>
          <t>회선수</t>
        </is>
      </c>
      <c r="C3" s="4" t="inlineStr">
        <is>
          <t>휴대폰 할인</t>
        </is>
      </c>
      <c r="D3" s="4" t="inlineStr">
        <is>
          <t>인터넷 할인</t>
        </is>
      </c>
      <c r="E3" s="4" t="inlineStr">
        <is>
          <t>IPTV 할인</t>
        </is>
      </c>
      <c r="F3" s="4" t="inlineStr">
        <is>
          <t>총 할인</t>
        </is>
      </c>
    </row>
    <row r="4">
      <c r="A4" s="9" t="inlineStr">
        <is>
          <t>100M</t>
        </is>
      </c>
      <c r="B4" s="9" t="n">
        <v>1</v>
      </c>
      <c r="C4" s="9" t="n">
        <v>3500</v>
      </c>
      <c r="D4" s="9" t="n">
        <v>4400</v>
      </c>
      <c r="E4" s="9" t="n">
        <v>1100</v>
      </c>
      <c r="F4" s="9" t="n">
        <v>9000</v>
      </c>
    </row>
    <row r="5">
      <c r="A5" s="9" t="inlineStr">
        <is>
          <t>100M</t>
        </is>
      </c>
      <c r="B5" s="9" t="n">
        <v>2</v>
      </c>
      <c r="C5" s="9" t="n">
        <v>7000</v>
      </c>
      <c r="D5" s="9" t="n">
        <v>4400</v>
      </c>
      <c r="E5" s="9" t="n">
        <v>1100</v>
      </c>
      <c r="F5" s="9" t="n">
        <v>12500</v>
      </c>
    </row>
    <row r="6">
      <c r="A6" s="9" t="inlineStr">
        <is>
          <t>100M</t>
        </is>
      </c>
      <c r="B6" s="9" t="n">
        <v>3</v>
      </c>
      <c r="C6" s="9" t="n">
        <v>18000</v>
      </c>
      <c r="D6" s="9" t="n">
        <v>4400</v>
      </c>
      <c r="E6" s="9" t="n">
        <v>1100</v>
      </c>
      <c r="F6" s="9" t="n">
        <v>23500</v>
      </c>
    </row>
    <row r="7">
      <c r="A7" s="9" t="inlineStr">
        <is>
          <t>100M</t>
        </is>
      </c>
      <c r="B7" s="9" t="n">
        <v>4</v>
      </c>
      <c r="C7" s="9" t="n">
        <v>18000</v>
      </c>
      <c r="D7" s="9" t="n">
        <v>4400</v>
      </c>
      <c r="E7" s="9" t="n">
        <v>1100</v>
      </c>
      <c r="F7" s="9" t="n">
        <v>23500</v>
      </c>
    </row>
    <row r="8">
      <c r="A8" s="9" t="inlineStr">
        <is>
          <t>100M</t>
        </is>
      </c>
      <c r="B8" s="9" t="n">
        <v>5</v>
      </c>
      <c r="C8" s="9" t="n">
        <v>18000</v>
      </c>
      <c r="D8" s="9" t="n">
        <v>4400</v>
      </c>
      <c r="E8" s="9" t="n">
        <v>1100</v>
      </c>
      <c r="F8" s="9" t="n">
        <v>23500</v>
      </c>
    </row>
    <row r="9">
      <c r="A9" s="9" t="inlineStr">
        <is>
          <t>500M</t>
        </is>
      </c>
      <c r="B9" s="9" t="n">
        <v>1</v>
      </c>
      <c r="C9" s="9" t="n">
        <v>3500</v>
      </c>
      <c r="D9" s="9" t="n">
        <v>11000</v>
      </c>
      <c r="E9" s="9" t="n">
        <v>1100</v>
      </c>
      <c r="F9" s="9" t="n">
        <v>15600</v>
      </c>
    </row>
    <row r="10">
      <c r="A10" s="9" t="inlineStr">
        <is>
          <t>500M</t>
        </is>
      </c>
      <c r="B10" s="9" t="n">
        <v>2</v>
      </c>
      <c r="C10" s="9" t="n">
        <v>7000</v>
      </c>
      <c r="D10" s="9" t="n">
        <v>11000</v>
      </c>
      <c r="E10" s="9" t="n">
        <v>1100</v>
      </c>
      <c r="F10" s="9" t="n">
        <v>19100</v>
      </c>
    </row>
    <row r="11">
      <c r="A11" s="9" t="inlineStr">
        <is>
          <t>500M</t>
        </is>
      </c>
      <c r="B11" s="9" t="n">
        <v>3</v>
      </c>
      <c r="C11" s="9" t="n">
        <v>18000</v>
      </c>
      <c r="D11" s="9" t="n">
        <v>11000</v>
      </c>
      <c r="E11" s="9" t="n">
        <v>1100</v>
      </c>
      <c r="F11" s="9" t="n">
        <v>30100</v>
      </c>
    </row>
    <row r="12">
      <c r="A12" s="9" t="inlineStr">
        <is>
          <t>500M</t>
        </is>
      </c>
      <c r="B12" s="9" t="n">
        <v>4</v>
      </c>
      <c r="C12" s="9" t="n">
        <v>24000</v>
      </c>
      <c r="D12" s="9" t="n">
        <v>11000</v>
      </c>
      <c r="E12" s="9" t="n">
        <v>1100</v>
      </c>
      <c r="F12" s="9" t="n">
        <v>36100</v>
      </c>
    </row>
    <row r="13">
      <c r="A13" s="9" t="inlineStr">
        <is>
          <t>500M</t>
        </is>
      </c>
      <c r="B13" s="9" t="n">
        <v>5</v>
      </c>
      <c r="C13" s="9" t="n">
        <v>24000</v>
      </c>
      <c r="D13" s="9" t="n">
        <v>11000</v>
      </c>
      <c r="E13" s="9" t="n">
        <v>1100</v>
      </c>
      <c r="F13" s="9" t="n">
        <v>36100</v>
      </c>
    </row>
    <row r="14">
      <c r="A14" s="9" t="inlineStr">
        <is>
          <t>1G</t>
        </is>
      </c>
      <c r="B14" s="9" t="n">
        <v>1</v>
      </c>
      <c r="C14" s="9" t="n">
        <v>3500</v>
      </c>
      <c r="D14" s="9" t="n">
        <v>13200</v>
      </c>
      <c r="E14" s="9" t="n">
        <v>1100</v>
      </c>
      <c r="F14" s="9" t="n">
        <v>17800</v>
      </c>
    </row>
    <row r="15">
      <c r="A15" s="9" t="inlineStr">
        <is>
          <t>1G</t>
        </is>
      </c>
      <c r="B15" s="9" t="n">
        <v>2</v>
      </c>
      <c r="C15" s="9" t="n">
        <v>7000</v>
      </c>
      <c r="D15" s="9" t="n">
        <v>13200</v>
      </c>
      <c r="E15" s="9" t="n">
        <v>1100</v>
      </c>
      <c r="F15" s="9" t="n">
        <v>21300</v>
      </c>
    </row>
    <row r="16">
      <c r="A16" s="9" t="inlineStr">
        <is>
          <t>1G</t>
        </is>
      </c>
      <c r="B16" s="9" t="n">
        <v>3</v>
      </c>
      <c r="C16" s="9" t="n">
        <v>18000</v>
      </c>
      <c r="D16" s="9" t="n">
        <v>13200</v>
      </c>
      <c r="E16" s="9" t="n">
        <v>1100</v>
      </c>
      <c r="F16" s="9" t="n">
        <v>32300</v>
      </c>
    </row>
    <row r="17">
      <c r="A17" s="9" t="inlineStr">
        <is>
          <t>1G</t>
        </is>
      </c>
      <c r="B17" s="9" t="n">
        <v>4</v>
      </c>
      <c r="C17" s="9" t="n">
        <v>24000</v>
      </c>
      <c r="D17" s="9" t="n">
        <v>13200</v>
      </c>
      <c r="E17" s="9" t="n">
        <v>1100</v>
      </c>
      <c r="F17" s="9" t="n">
        <v>38300</v>
      </c>
    </row>
    <row r="18">
      <c r="A18" s="9" t="inlineStr">
        <is>
          <t>1G</t>
        </is>
      </c>
      <c r="B18" s="9" t="n">
        <v>5</v>
      </c>
      <c r="C18" s="9" t="n">
        <v>24000</v>
      </c>
      <c r="D18" s="9" t="n">
        <v>13200</v>
      </c>
      <c r="E18" s="9" t="n">
        <v>1100</v>
      </c>
      <c r="F18" s="9" t="n">
        <v>38300</v>
      </c>
    </row>
    <row r="20">
      <c r="A20" s="15" t="inlineStr">
        <is>
          <t>※ IPTV 할인은 TV 결합 시에만 적용 · 휴대폰 할인 = 인당 × 회선수 (인당: 100M 1~2회선 3,500 / 3회선 6,000 / 4~5회선 4,500 or 3,600)</t>
        </is>
      </c>
    </row>
  </sheetData>
  <mergeCells count="1">
    <mergeCell ref="A20:F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24" customHeight="1">
      <c r="A1" s="16" t="inlineStr">
        <is>
          <t>🏷️ KT 총액결합할인 (6구간 × 속도별)</t>
        </is>
      </c>
    </row>
    <row r="3">
      <c r="A3" s="4" t="inlineStr">
        <is>
          <t>속도</t>
        </is>
      </c>
      <c r="B3" s="4" t="inlineStr">
        <is>
          <t>월요금 합산 구간</t>
        </is>
      </c>
      <c r="C3" s="4" t="inlineStr">
        <is>
          <t>인터넷 할인</t>
        </is>
      </c>
      <c r="D3" s="4" t="inlineStr">
        <is>
          <t>휴대폰 할인</t>
        </is>
      </c>
      <c r="E3" s="4" t="inlineStr">
        <is>
          <t>합계</t>
        </is>
      </c>
    </row>
    <row r="4">
      <c r="A4" s="11" t="inlineStr">
        <is>
          <t>100M</t>
        </is>
      </c>
      <c r="B4" s="11" t="inlineStr">
        <is>
          <t>22,000원 이하</t>
        </is>
      </c>
      <c r="C4" s="11" t="n">
        <v>1650</v>
      </c>
      <c r="D4" s="11" t="n">
        <v>0</v>
      </c>
      <c r="E4" s="11" t="n">
        <v>1650</v>
      </c>
    </row>
    <row r="5">
      <c r="A5" s="11" t="inlineStr">
        <is>
          <t>100M</t>
        </is>
      </c>
      <c r="B5" s="11" t="inlineStr">
        <is>
          <t>22,000원 이상</t>
        </is>
      </c>
      <c r="C5" s="11" t="n">
        <v>3300</v>
      </c>
      <c r="D5" s="11" t="n">
        <v>0</v>
      </c>
      <c r="E5" s="11" t="n">
        <v>3300</v>
      </c>
    </row>
    <row r="6">
      <c r="A6" s="11" t="inlineStr">
        <is>
          <t>100M</t>
        </is>
      </c>
      <c r="B6" s="11" t="inlineStr">
        <is>
          <t>64,900원 이상</t>
        </is>
      </c>
      <c r="C6" s="11" t="n">
        <v>5500</v>
      </c>
      <c r="D6" s="11" t="n">
        <v>3300</v>
      </c>
      <c r="E6" s="11" t="n">
        <v>8800</v>
      </c>
    </row>
    <row r="7">
      <c r="A7" s="11" t="inlineStr">
        <is>
          <t>100M</t>
        </is>
      </c>
      <c r="B7" s="11" t="inlineStr">
        <is>
          <t>108,900원 이상</t>
        </is>
      </c>
      <c r="C7" s="11" t="n">
        <v>5500</v>
      </c>
      <c r="D7" s="11" t="n">
        <v>14300</v>
      </c>
      <c r="E7" s="11" t="n">
        <v>19800</v>
      </c>
    </row>
    <row r="8">
      <c r="A8" s="11" t="inlineStr">
        <is>
          <t>100M</t>
        </is>
      </c>
      <c r="B8" s="11" t="inlineStr">
        <is>
          <t>141,900원 이상</t>
        </is>
      </c>
      <c r="C8" s="11" t="n">
        <v>5500</v>
      </c>
      <c r="D8" s="11" t="n">
        <v>18700</v>
      </c>
      <c r="E8" s="11" t="n">
        <v>24200</v>
      </c>
    </row>
    <row r="9">
      <c r="A9" s="11" t="inlineStr">
        <is>
          <t>100M</t>
        </is>
      </c>
      <c r="B9" s="11" t="inlineStr">
        <is>
          <t>174,900원 이상</t>
        </is>
      </c>
      <c r="C9" s="11" t="n">
        <v>5500</v>
      </c>
      <c r="D9" s="11" t="n">
        <v>23100</v>
      </c>
      <c r="E9" s="11" t="n">
        <v>28600</v>
      </c>
    </row>
    <row r="10">
      <c r="A10" s="11" t="inlineStr">
        <is>
          <t>500M</t>
        </is>
      </c>
      <c r="B10" s="11" t="inlineStr">
        <is>
          <t>22,000원 이하</t>
        </is>
      </c>
      <c r="C10" s="11" t="n">
        <v>2200</v>
      </c>
      <c r="D10" s="11" t="n">
        <v>0</v>
      </c>
      <c r="E10" s="11" t="n">
        <v>2200</v>
      </c>
    </row>
    <row r="11">
      <c r="A11" s="11" t="inlineStr">
        <is>
          <t>500M</t>
        </is>
      </c>
      <c r="B11" s="11" t="inlineStr">
        <is>
          <t>22,000원 이상</t>
        </is>
      </c>
      <c r="C11" s="11" t="n">
        <v>5500</v>
      </c>
      <c r="D11" s="11" t="n">
        <v>0</v>
      </c>
      <c r="E11" s="11" t="n">
        <v>5500</v>
      </c>
    </row>
    <row r="12">
      <c r="A12" s="11" t="inlineStr">
        <is>
          <t>500M</t>
        </is>
      </c>
      <c r="B12" s="11" t="inlineStr">
        <is>
          <t>64,900원 이상</t>
        </is>
      </c>
      <c r="C12" s="11" t="n">
        <v>5500</v>
      </c>
      <c r="D12" s="11" t="n">
        <v>5500</v>
      </c>
      <c r="E12" s="11" t="n">
        <v>11000</v>
      </c>
    </row>
    <row r="13">
      <c r="A13" s="11" t="inlineStr">
        <is>
          <t>500M</t>
        </is>
      </c>
      <c r="B13" s="11" t="inlineStr">
        <is>
          <t>108,900원 이상</t>
        </is>
      </c>
      <c r="C13" s="11" t="n">
        <v>5500</v>
      </c>
      <c r="D13" s="11" t="n">
        <v>16610</v>
      </c>
      <c r="E13" s="11" t="n">
        <v>22110</v>
      </c>
    </row>
    <row r="14">
      <c r="A14" s="11" t="inlineStr">
        <is>
          <t>500M</t>
        </is>
      </c>
      <c r="B14" s="11" t="inlineStr">
        <is>
          <t>141,900원 이상</t>
        </is>
      </c>
      <c r="C14" s="11" t="n">
        <v>5500</v>
      </c>
      <c r="D14" s="11" t="n">
        <v>22110</v>
      </c>
      <c r="E14" s="11" t="n">
        <v>27610</v>
      </c>
    </row>
    <row r="15">
      <c r="A15" s="11" t="inlineStr">
        <is>
          <t>500M</t>
        </is>
      </c>
      <c r="B15" s="11" t="inlineStr">
        <is>
          <t>174,900원 이상</t>
        </is>
      </c>
      <c r="C15" s="11" t="n">
        <v>5500</v>
      </c>
      <c r="D15" s="11" t="n">
        <v>27610</v>
      </c>
      <c r="E15" s="11" t="n">
        <v>33110</v>
      </c>
    </row>
    <row r="16">
      <c r="A16" s="11" t="inlineStr">
        <is>
          <t>1G</t>
        </is>
      </c>
      <c r="B16" s="11" t="inlineStr">
        <is>
          <t>22,000원 이하</t>
        </is>
      </c>
      <c r="C16" s="11" t="n">
        <v>2200</v>
      </c>
      <c r="D16" s="11" t="n">
        <v>0</v>
      </c>
      <c r="E16" s="11" t="n">
        <v>2200</v>
      </c>
    </row>
    <row r="17">
      <c r="A17" s="11" t="inlineStr">
        <is>
          <t>1G</t>
        </is>
      </c>
      <c r="B17" s="11" t="inlineStr">
        <is>
          <t>22,000원 이상</t>
        </is>
      </c>
      <c r="C17" s="11" t="n">
        <v>5500</v>
      </c>
      <c r="D17" s="11" t="n">
        <v>0</v>
      </c>
      <c r="E17" s="11" t="n">
        <v>5500</v>
      </c>
    </row>
    <row r="18">
      <c r="A18" s="11" t="inlineStr">
        <is>
          <t>1G</t>
        </is>
      </c>
      <c r="B18" s="11" t="inlineStr">
        <is>
          <t>64,900원 이상</t>
        </is>
      </c>
      <c r="C18" s="11" t="n">
        <v>5500</v>
      </c>
      <c r="D18" s="11" t="n">
        <v>5500</v>
      </c>
      <c r="E18" s="11" t="n">
        <v>11000</v>
      </c>
    </row>
    <row r="19">
      <c r="A19" s="11" t="inlineStr">
        <is>
          <t>1G</t>
        </is>
      </c>
      <c r="B19" s="11" t="inlineStr">
        <is>
          <t>108,900원 이상</t>
        </is>
      </c>
      <c r="C19" s="11" t="n">
        <v>5500</v>
      </c>
      <c r="D19" s="11" t="n">
        <v>16610</v>
      </c>
      <c r="E19" s="11" t="n">
        <v>22110</v>
      </c>
    </row>
    <row r="20">
      <c r="A20" s="11" t="inlineStr">
        <is>
          <t>1G</t>
        </is>
      </c>
      <c r="B20" s="11" t="inlineStr">
        <is>
          <t>141,900원 이상</t>
        </is>
      </c>
      <c r="C20" s="11" t="n">
        <v>5500</v>
      </c>
      <c r="D20" s="11" t="n">
        <v>22110</v>
      </c>
      <c r="E20" s="11" t="n">
        <v>27610</v>
      </c>
    </row>
    <row r="21">
      <c r="A21" s="11" t="inlineStr">
        <is>
          <t>1G</t>
        </is>
      </c>
      <c r="B21" s="11" t="inlineStr">
        <is>
          <t>174,900원 이상</t>
        </is>
      </c>
      <c r="C21" s="11" t="n">
        <v>5500</v>
      </c>
      <c r="D21" s="11" t="n">
        <v>27610</v>
      </c>
      <c r="E21" s="11" t="n">
        <v>33110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16" t="inlineStr">
        <is>
          <t>🏷️ KT 정액결합할인 (4구간)</t>
        </is>
      </c>
    </row>
    <row r="3">
      <c r="A3" s="4" t="inlineStr">
        <is>
          <t>월요금 구간</t>
        </is>
      </c>
      <c r="B3" s="4" t="inlineStr">
        <is>
          <t>인터넷 할인</t>
        </is>
      </c>
      <c r="C3" s="4" t="inlineStr">
        <is>
          <t>휴대폰 할인</t>
        </is>
      </c>
      <c r="D3" s="4" t="inlineStr">
        <is>
          <t>합계</t>
        </is>
      </c>
    </row>
    <row r="4">
      <c r="A4" s="11" t="inlineStr">
        <is>
          <t>37,000원 이하</t>
        </is>
      </c>
      <c r="B4" s="11" t="n">
        <v>5500</v>
      </c>
      <c r="C4" s="11" t="n">
        <v>0</v>
      </c>
      <c r="D4" s="11" t="n">
        <v>5500</v>
      </c>
    </row>
    <row r="5">
      <c r="A5" s="11" t="inlineStr">
        <is>
          <t>37,000원 이상</t>
        </is>
      </c>
      <c r="B5" s="11" t="n">
        <v>5500</v>
      </c>
      <c r="C5" s="11" t="n">
        <v>3000</v>
      </c>
      <c r="D5" s="11" t="n">
        <v>8500</v>
      </c>
    </row>
    <row r="6">
      <c r="A6" s="11" t="inlineStr">
        <is>
          <t>61,000원 이상</t>
        </is>
      </c>
      <c r="B6" s="11" t="n">
        <v>5500</v>
      </c>
      <c r="C6" s="11" t="n">
        <v>5000</v>
      </c>
      <c r="D6" s="11" t="n">
        <v>10500</v>
      </c>
    </row>
    <row r="7">
      <c r="A7" s="11" t="inlineStr">
        <is>
          <t>77,000원 이상</t>
        </is>
      </c>
      <c r="B7" s="11" t="n">
        <v>5500</v>
      </c>
      <c r="C7" s="11" t="n">
        <v>7000</v>
      </c>
      <c r="D7" s="11" t="n">
        <v>12500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8" customWidth="1" min="4" max="4"/>
  </cols>
  <sheetData>
    <row r="1" ht="24" customHeight="1">
      <c r="A1" s="17" t="inlineStr">
        <is>
          <t>💎 KT 프리미엄 가족결합 (요금제 카탈로그)</t>
        </is>
      </c>
    </row>
    <row r="3">
      <c r="A3" s="18" t="inlineStr">
        <is>
          <t>자격: 77,000원↑ 요금제 2회선 이상 | 대표자는 총액결합만 (프리미엄 불가) | 인터넷 -5,500원 고정 | 구성원 77K↑만 25% 할인 (100원 올림)</t>
        </is>
      </c>
    </row>
    <row r="5">
      <c r="A5" s="4" t="inlineStr">
        <is>
          <t>월정액 (v)</t>
        </is>
      </c>
      <c r="B5" s="4" t="inlineStr">
        <is>
          <t>요금제명 (label)</t>
        </is>
      </c>
      <c r="C5" s="4" t="inlineStr">
        <is>
          <t>할인액 (dc)</t>
        </is>
      </c>
      <c r="D5" s="4" t="inlineStr">
        <is>
          <t>할인율</t>
        </is>
      </c>
    </row>
    <row r="6">
      <c r="A6" s="19" t="n">
        <v>77000</v>
      </c>
      <c r="B6" s="19" t="inlineStr">
        <is>
          <t>77,000원 (임계값)</t>
        </is>
      </c>
      <c r="C6" s="19" t="n">
        <v>19250</v>
      </c>
      <c r="D6" s="19" t="inlineStr">
        <is>
          <t>≈25%</t>
        </is>
      </c>
    </row>
    <row r="7">
      <c r="A7" s="19" t="n">
        <v>80000</v>
      </c>
      <c r="B7" s="19" t="inlineStr">
        <is>
          <t>80,000원 (5G 슈퍼플랜 베이직)</t>
        </is>
      </c>
      <c r="C7" s="19" t="n">
        <v>20000</v>
      </c>
      <c r="D7" s="19" t="inlineStr">
        <is>
          <t>25%</t>
        </is>
      </c>
    </row>
    <row r="8">
      <c r="A8" s="19" t="n">
        <v>87890</v>
      </c>
      <c r="B8" s="19" t="inlineStr">
        <is>
          <t>87,890원 (데이터선택 87.8)</t>
        </is>
      </c>
      <c r="C8" s="19" t="n">
        <v>22000</v>
      </c>
      <c r="D8" s="19" t="inlineStr">
        <is>
          <t>≈25%</t>
        </is>
      </c>
    </row>
    <row r="9">
      <c r="A9" s="19" t="n">
        <v>89000</v>
      </c>
      <c r="B9" s="19" t="inlineStr">
        <is>
          <t>89,000원 (데이터ON 프리미엄)</t>
        </is>
      </c>
      <c r="C9" s="19" t="n">
        <v>22250</v>
      </c>
      <c r="D9" s="19" t="inlineStr">
        <is>
          <t>25%</t>
        </is>
      </c>
    </row>
    <row r="10">
      <c r="A10" s="19" t="n">
        <v>90000</v>
      </c>
      <c r="B10" s="19" t="inlineStr">
        <is>
          <t>90,000원 (슈퍼플랜 베이직 Plus/초이스)</t>
        </is>
      </c>
      <c r="C10" s="19" t="n">
        <v>22500</v>
      </c>
      <c r="D10" s="19" t="inlineStr">
        <is>
          <t>25%</t>
        </is>
      </c>
    </row>
    <row r="11">
      <c r="A11" s="19" t="n">
        <v>100000</v>
      </c>
      <c r="B11" s="19" t="inlineStr">
        <is>
          <t>100,000원 (슈퍼플랜 스페셜)</t>
        </is>
      </c>
      <c r="C11" s="19" t="n">
        <v>25000</v>
      </c>
      <c r="D11" s="19" t="inlineStr">
        <is>
          <t>25%</t>
        </is>
      </c>
    </row>
    <row r="12">
      <c r="A12" s="19" t="n">
        <v>109000</v>
      </c>
      <c r="B12" s="19" t="inlineStr">
        <is>
          <t>109,000원 (데이터선택 109)</t>
        </is>
      </c>
      <c r="C12" s="19" t="n">
        <v>27500</v>
      </c>
      <c r="D12" s="19" t="inlineStr">
        <is>
          <t>≈25%</t>
        </is>
      </c>
    </row>
    <row r="13">
      <c r="A13" s="19" t="n">
        <v>110000</v>
      </c>
      <c r="B13" s="19" t="inlineStr">
        <is>
          <t>110,000원 (슈퍼플랜 스페셜 Plus/초이스)</t>
        </is>
      </c>
      <c r="C13" s="19" t="n">
        <v>27500</v>
      </c>
      <c r="D13" s="19" t="inlineStr">
        <is>
          <t>25%</t>
        </is>
      </c>
    </row>
    <row r="14">
      <c r="A14" s="19" t="n">
        <v>130000</v>
      </c>
      <c r="B14" s="19" t="inlineStr">
        <is>
          <t>130,000원 (슈퍼플랜 프리미엄/초이스)</t>
        </is>
      </c>
      <c r="C14" s="19" t="n">
        <v>32500</v>
      </c>
      <c r="D14" s="19" t="inlineStr">
        <is>
          <t>25%</t>
        </is>
      </c>
    </row>
  </sheetData>
  <mergeCells count="1">
    <mergeCell ref="A3:D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 ht="24" customHeight="1">
      <c r="A1" s="20" t="inlineStr">
        <is>
          <t>🏷️ LGU+ 참쉬운가족결합 (요금구간 × 회선수)</t>
        </is>
      </c>
    </row>
    <row r="3">
      <c r="A3" s="4" t="inlineStr">
        <is>
          <t>구분</t>
        </is>
      </c>
      <c r="B3" s="4" t="inlineStr">
        <is>
          <t>100M</t>
        </is>
      </c>
      <c r="C3" s="4" t="inlineStr">
        <is>
          <t>500M</t>
        </is>
      </c>
      <c r="D3" s="4" t="inlineStr">
        <is>
          <t>1G</t>
        </is>
      </c>
    </row>
    <row r="4">
      <c r="A4" s="13" t="inlineStr">
        <is>
          <t>인터넷 할인 (3년 약정)</t>
        </is>
      </c>
      <c r="B4" s="13" t="n">
        <v>5500</v>
      </c>
      <c r="C4" s="13" t="n">
        <v>9900</v>
      </c>
      <c r="D4" s="13" t="n">
        <v>13200</v>
      </c>
    </row>
    <row r="6">
      <c r="A6" s="21" t="inlineStr">
        <is>
          <t>휴대폰 할인 매트릭스 (인당)</t>
        </is>
      </c>
    </row>
    <row r="7">
      <c r="A7" s="4" t="inlineStr">
        <is>
          <t>휴대폰 월요금</t>
        </is>
      </c>
      <c r="B7" s="4" t="inlineStr">
        <is>
          <t>2회선</t>
        </is>
      </c>
      <c r="C7" s="4" t="inlineStr">
        <is>
          <t>3회선</t>
        </is>
      </c>
      <c r="D7" s="4" t="inlineStr">
        <is>
          <t>4+회선</t>
        </is>
      </c>
    </row>
    <row r="8">
      <c r="A8" s="13" t="inlineStr">
        <is>
          <t>69,000원 미만</t>
        </is>
      </c>
      <c r="B8" s="13" t="n">
        <v>2200</v>
      </c>
      <c r="C8" s="13" t="n">
        <v>3300</v>
      </c>
      <c r="D8" s="13" t="n">
        <v>4400</v>
      </c>
    </row>
    <row r="9">
      <c r="A9" s="13" t="inlineStr">
        <is>
          <t>69,000원 이상</t>
        </is>
      </c>
      <c r="B9" s="13" t="n">
        <v>3300</v>
      </c>
      <c r="C9" s="13" t="n">
        <v>5500</v>
      </c>
      <c r="D9" s="13" t="n">
        <v>6600</v>
      </c>
    </row>
    <row r="10">
      <c r="A10" s="13" t="inlineStr">
        <is>
          <t>88,000원 이상</t>
        </is>
      </c>
      <c r="B10" s="13" t="n">
        <v>4400</v>
      </c>
      <c r="C10" s="13" t="n">
        <v>6600</v>
      </c>
      <c r="D10" s="13" t="n">
        <v>8800</v>
      </c>
    </row>
    <row r="12">
      <c r="A12" s="15" t="inlineStr">
        <is>
          <t>※ 알뜰폰 결합 가능 · 휴대폰 10대 + 인터넷 3대까지</t>
        </is>
      </c>
    </row>
  </sheetData>
  <mergeCells count="1">
    <mergeCell ref="A12:D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4" customHeight="1">
      <c r="A1" s="20" t="inlineStr">
        <is>
          <t>🏷️ LGU+ 투게더 결합 (85,000원↑ 고가요금제)</t>
        </is>
      </c>
    </row>
    <row r="3">
      <c r="A3" s="18" t="inlineStr">
        <is>
          <t>조건: 5G 85,000원 이상 요금제 + 500M 이상 인터넷 (100M 결합 불가)</t>
        </is>
      </c>
    </row>
    <row r="5">
      <c r="A5" s="4" t="inlineStr">
        <is>
          <t>구분</t>
        </is>
      </c>
      <c r="B5" s="4" t="inlineStr">
        <is>
          <t>100M</t>
        </is>
      </c>
      <c r="C5" s="4" t="inlineStr">
        <is>
          <t>500M</t>
        </is>
      </c>
      <c r="D5" s="4" t="inlineStr">
        <is>
          <t>1G</t>
        </is>
      </c>
    </row>
    <row r="6">
      <c r="A6" s="13" t="inlineStr">
        <is>
          <t>인터넷 할인</t>
        </is>
      </c>
      <c r="B6" s="13" t="inlineStr">
        <is>
          <t>결합 불가</t>
        </is>
      </c>
      <c r="C6" s="13" t="n">
        <v>11000</v>
      </c>
      <c r="D6" s="13" t="n">
        <v>11000</v>
      </c>
    </row>
    <row r="8">
      <c r="A8" s="4" t="inlineStr">
        <is>
          <t>회선수</t>
        </is>
      </c>
      <c r="B8" s="4" t="inlineStr">
        <is>
          <t>휴대폰 할인 (인당)</t>
        </is>
      </c>
      <c r="C8" s="4" t="inlineStr"/>
      <c r="D8" s="4" t="inlineStr"/>
    </row>
    <row r="9">
      <c r="A9" s="13" t="inlineStr">
        <is>
          <t>2회선</t>
        </is>
      </c>
      <c r="B9" s="13" t="n">
        <v>10000</v>
      </c>
      <c r="C9" s="13" t="inlineStr"/>
      <c r="D9" s="13" t="inlineStr"/>
    </row>
    <row r="10">
      <c r="A10" s="13" t="inlineStr">
        <is>
          <t>3회선</t>
        </is>
      </c>
      <c r="B10" s="13" t="n">
        <v>14000</v>
      </c>
      <c r="C10" s="13" t="inlineStr"/>
      <c r="D10" s="13" t="inlineStr"/>
    </row>
    <row r="11">
      <c r="A11" s="13" t="inlineStr">
        <is>
          <t>4~5회선</t>
        </is>
      </c>
      <c r="B11" s="13" t="n">
        <v>20000</v>
      </c>
      <c r="C11" s="13" t="inlineStr"/>
      <c r="D11" s="13" t="inlineStr"/>
    </row>
  </sheetData>
  <mergeCells count="1">
    <mergeCell ref="A3:D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 ht="24" customHeight="1">
      <c r="A1" s="3" t="inlineStr">
        <is>
          <t>🧮 월 요금 계산 공식 (3사 공통 구조)</t>
        </is>
      </c>
    </row>
    <row r="3">
      <c r="A3" s="4" t="inlineStr">
        <is>
          <t>단계</t>
        </is>
      </c>
      <c r="B3" s="4" t="inlineStr">
        <is>
          <t>공식</t>
        </is>
      </c>
    </row>
    <row r="4">
      <c r="A4" s="22" t="inlineStr">
        <is>
          <t>STEP 1 — 인터넷 기본가</t>
        </is>
      </c>
      <c r="B4" s="23" t="inlineStr">
        <is>
          <t>netSingle = D[carrier].internet[speed]</t>
        </is>
      </c>
    </row>
    <row r="5">
      <c r="A5" s="22" t="inlineStr">
        <is>
          <t>STEP 2 — WiFi 추가금</t>
        </is>
      </c>
      <c r="B5" s="23" t="inlineStr">
        <is>
          <t>wifiForSp = D.wifiPrice[speed] (KT) 또는 D.wifiCost (SKT/LGU+)</t>
        </is>
      </c>
    </row>
    <row r="6">
      <c r="A6" s="22" t="inlineStr">
        <is>
          <t>STEP 3 — TV 결합 여부 분기</t>
        </is>
      </c>
      <c r="B6" s="23" t="inlineStr">
        <is>
          <t>hasTv = (tvIdx &gt; 0)</t>
        </is>
      </c>
    </row>
    <row r="7">
      <c r="A7" s="24" t="inlineStr">
        <is>
          <t xml:space="preserve">  ├─ TV 없음 (단독)</t>
        </is>
      </c>
      <c r="B7" s="23" t="inlineStr">
        <is>
          <t>base = netSingle + (wifi ? wifiForSp : 0)</t>
        </is>
      </c>
    </row>
    <row r="8">
      <c r="A8" s="24" t="inlineStr">
        <is>
          <t xml:space="preserve">  └─ TV 결합</t>
        </is>
      </c>
      <c r="B8" s="23" t="inlineStr">
        <is>
          <t>netCombo = wifi ? D.tvInternetWithWifi[sp] : D.tvInternetNoWifi[sp]</t>
        </is>
      </c>
    </row>
    <row r="9">
      <c r="A9" s="24" t="inlineStr"/>
      <c r="B9" s="23" t="inlineStr">
        <is>
          <t>tvFinal = D.tv[tvIdx].p - D.tv[tvIdx].dc</t>
        </is>
      </c>
    </row>
    <row r="10">
      <c r="A10" s="24" t="inlineStr"/>
      <c r="B10" s="23" t="inlineStr">
        <is>
          <t>base = netCombo + tvFinal + D.setTop.fee</t>
        </is>
      </c>
    </row>
    <row r="11">
      <c r="A11" s="22" t="inlineStr">
        <is>
          <t>STEP 4 — 휴대폰 결합할인</t>
        </is>
      </c>
      <c r="B11" s="23" t="inlineStr">
        <is>
          <t>통신사별 상이 (아래 참조)</t>
        </is>
      </c>
    </row>
    <row r="12">
      <c r="A12" s="22" t="inlineStr">
        <is>
          <t>STEP 5 — 최종 월요금</t>
        </is>
      </c>
      <c r="B12" s="23" t="inlineStr">
        <is>
          <t>monthlyTotal = base - bundleDiscount</t>
        </is>
      </c>
    </row>
    <row r="13">
      <c r="A13" s="22" t="inlineStr">
        <is>
          <t>STEP 6 — 휴대폰 고지서 별도 할인</t>
        </is>
      </c>
      <c r="B13" s="23" t="inlineStr">
        <is>
          <t>mobileSideDiscount (가족결합만 해당)</t>
        </is>
      </c>
    </row>
    <row r="14">
      <c r="A14" s="22" t="inlineStr">
        <is>
          <t>STEP 7 — 혜택가</t>
        </is>
      </c>
      <c r="B14" s="23" t="inlineStr">
        <is>
          <t>finalFee = monthlyTotal - mobileSideDiscount</t>
        </is>
      </c>
    </row>
    <row r="15">
      <c r="A15" s="24" t="inlineStr"/>
      <c r="B15" s="23" t="inlineStr"/>
    </row>
    <row r="16">
      <c r="A16" s="22" t="inlineStr">
        <is>
          <t>부가: 설치비 (1회성)</t>
        </is>
      </c>
      <c r="B16" s="23" t="inlineStr">
        <is>
          <t>installFee = hasTv ? D.install.combo : D.install.solo</t>
        </is>
      </c>
    </row>
    <row r="17">
      <c r="A17" s="22" t="inlineStr">
        <is>
          <t>부가: 사은품</t>
        </is>
      </c>
      <c r="B17" s="23" t="inlineStr">
        <is>
          <t>gift = D.gift[hasTv ? "combo" : "solo"][speed]</t>
        </is>
      </c>
    </row>
    <row r="20">
      <c r="A20" s="25" t="inlineStr">
        <is>
          <t>⚠️ 핵심 주의사항 — 3사 결합할인 적용 방식 다름</t>
        </is>
      </c>
    </row>
    <row r="21">
      <c r="A21" s="26" t="inlineStr">
        <is>
          <t>• SKT 요즘가족결합: 단독가 **REPLACE** (요즘우리집 대체) → tvInternetNoWifi 무시</t>
        </is>
      </c>
    </row>
    <row r="22">
      <c r="A22" s="26" t="inlineStr">
        <is>
          <t>• KT 총액/정액: 기본 TV결합할인 + 총액할인 **STACK** (중복 적용)</t>
        </is>
      </c>
    </row>
    <row r="23">
      <c r="A23" s="26" t="inlineStr">
        <is>
          <t>• KT 프리미엄: 총액대상(대표자+77K미만) + 프리미엄대상(77K↑) 독립 계산</t>
        </is>
      </c>
    </row>
    <row r="24">
      <c r="A24" s="26" t="inlineStr">
        <is>
          <t>• LG U+ 참쉬운: 단독가 **REPLACE** (SKT와 유사)</t>
        </is>
      </c>
    </row>
    <row r="25">
      <c r="A25" s="26" t="inlineStr">
        <is>
          <t>• LG U+ 투게더: 단독가 **REPLACE** (85K↑ 고가요금제 한정)</t>
        </is>
      </c>
    </row>
    <row r="28" ht="24" customHeight="1">
      <c r="A28" s="3" t="inlineStr">
        <is>
          <t>🏷️ 결합할인 계산 — 통신사별 분기</t>
        </is>
      </c>
    </row>
    <row r="30">
      <c r="A30" s="4" t="inlineStr">
        <is>
          <t>통신사</t>
        </is>
      </c>
      <c r="B30" s="4" t="inlineStr">
        <is>
          <t>결합 종류</t>
        </is>
      </c>
      <c r="C30" s="4" t="inlineStr">
        <is>
          <t>계산 공식</t>
        </is>
      </c>
    </row>
    <row r="31">
      <c r="A31" s="27" t="inlineStr">
        <is>
          <t>SKT</t>
        </is>
      </c>
      <c r="B31" s="27" t="inlineStr">
        <is>
          <t>요즘가족결합</t>
        </is>
      </c>
      <c r="C31" s="28" t="inlineStr">
        <is>
          <t>inetDc = D.skt.bundle.family.internet[sp]</t>
        </is>
      </c>
    </row>
    <row r="32">
      <c r="A32" s="24" t="inlineStr"/>
      <c r="B32" s="24" t="inlineStr"/>
      <c r="C32" s="29" t="inlineStr">
        <is>
          <t>iptvDc = hasTv ? D.skt.bundle.family.iptv : 0</t>
        </is>
      </c>
    </row>
    <row r="33">
      <c r="A33" s="24" t="inlineStr"/>
      <c r="B33" s="24" t="inlineStr"/>
      <c r="C33" s="29" t="inlineStr">
        <is>
          <t>mobPer = D.skt.bundle.family.mobilePerBySpeed[sp][lines]</t>
        </is>
      </c>
    </row>
    <row r="34">
      <c r="A34" s="24" t="inlineStr"/>
      <c r="B34" s="24" t="inlineStr"/>
      <c r="C34" s="29" t="inlineStr">
        <is>
          <t>mobTotal = mobPer × lines  ← 인당 × 인원</t>
        </is>
      </c>
    </row>
    <row r="35">
      <c r="A35" s="24" t="inlineStr"/>
      <c r="B35" s="24" t="inlineStr"/>
      <c r="C35" s="29" t="inlineStr">
        <is>
          <t>bundleDc = inetDc + iptvDc (인터넷/TV 할인)</t>
        </is>
      </c>
    </row>
    <row r="36">
      <c r="A36" s="24" t="inlineStr"/>
      <c r="B36" s="24" t="inlineStr"/>
      <c r="C36" s="29" t="inlineStr">
        <is>
          <t>mobileSideDiscount = mobTotal (휴대폰 고지서에서 별도 차감)</t>
        </is>
      </c>
    </row>
    <row r="37">
      <c r="A37" s="30" t="inlineStr">
        <is>
          <t>KT</t>
        </is>
      </c>
      <c r="B37" s="30" t="inlineStr">
        <is>
          <t>총액결합 (total)</t>
        </is>
      </c>
      <c r="C37" s="31" t="inlineStr">
        <is>
          <t>rngIdx = 합산_요금_구간 (6단계)</t>
        </is>
      </c>
    </row>
    <row r="38">
      <c r="A38" s="24" t="inlineStr"/>
      <c r="B38" s="24" t="inlineStr"/>
      <c r="C38" s="29" t="inlineStr">
        <is>
          <t>inetDc = D.kt.bundle.total.internet[sp][rngIdx]</t>
        </is>
      </c>
    </row>
    <row r="39">
      <c r="A39" s="24" t="inlineStr"/>
      <c r="B39" s="24" t="inlineStr"/>
      <c r="C39" s="29" t="inlineStr">
        <is>
          <t>mobDc = D.kt.bundle.total.mobile[sp][rngIdx]</t>
        </is>
      </c>
    </row>
    <row r="40">
      <c r="A40" s="24" t="inlineStr"/>
      <c r="B40" s="24" t="inlineStr"/>
      <c r="C40" s="29" t="inlineStr">
        <is>
          <t>bundleDc = inetDc (인터넷 할인 · 기본 TV결합할인과 중복 적용)</t>
        </is>
      </c>
    </row>
    <row r="41">
      <c r="A41" s="24" t="inlineStr"/>
      <c r="B41" s="24" t="inlineStr"/>
      <c r="C41" s="29" t="inlineStr">
        <is>
          <t>mobileSideDiscount = mobDc</t>
        </is>
      </c>
    </row>
    <row r="42">
      <c r="A42" s="30" t="inlineStr">
        <is>
          <t>KT</t>
        </is>
      </c>
      <c r="B42" s="30" t="inlineStr">
        <is>
          <t>정액결합 (fixed)</t>
        </is>
      </c>
      <c r="C42" s="31" t="inlineStr">
        <is>
          <t>fxIdx = 요금_구간 (4단계)</t>
        </is>
      </c>
    </row>
    <row r="43">
      <c r="A43" s="24" t="inlineStr"/>
      <c r="B43" s="24" t="inlineStr"/>
      <c r="C43" s="29" t="inlineStr">
        <is>
          <t>inetDc = D.kt.bundle.fixed.internet[fxIdx]  (전구간 5,500)</t>
        </is>
      </c>
    </row>
    <row r="44">
      <c r="A44" s="24" t="inlineStr"/>
      <c r="B44" s="24" t="inlineStr"/>
      <c r="C44" s="29" t="inlineStr">
        <is>
          <t>mobDc = D.kt.bundle.fixed.mobile[fxIdx]</t>
        </is>
      </c>
    </row>
    <row r="45">
      <c r="A45" s="30" t="inlineStr">
        <is>
          <t>KT</t>
        </is>
      </c>
      <c r="B45" s="30" t="inlineStr">
        <is>
          <t>💎 프리미엄 가족결합</t>
        </is>
      </c>
      <c r="C45" s="31" t="inlineStr">
        <is>
          <t>자격: 77K↑ 요금제 2회선 이상</t>
        </is>
      </c>
    </row>
    <row r="46">
      <c r="A46" s="24" t="inlineStr"/>
      <c r="B46" s="24" t="inlineStr"/>
      <c r="C46" s="29" t="inlineStr">
        <is>
          <t>대표자 + 77K미만 구성원 → 총액결합 합산 → 구간 mobDc</t>
        </is>
      </c>
    </row>
    <row r="47">
      <c r="A47" s="24" t="inlineStr"/>
      <c r="B47" s="24" t="inlineStr"/>
      <c r="C47" s="29" t="inlineStr">
        <is>
          <t>77K↑ 구성원(대표자 제외) → 각각 D.kt.bundle.premium.planCatalog[plan].dc 합산</t>
        </is>
      </c>
    </row>
    <row r="48">
      <c r="A48" s="24" t="inlineStr"/>
      <c r="B48" s="24" t="inlineStr"/>
      <c r="C48" s="29" t="inlineStr">
        <is>
          <t>totalDc = 5500 (인터넷 고정) + 총액결합mobDc + 프리미엄dc 합</t>
        </is>
      </c>
    </row>
    <row r="49">
      <c r="A49" s="32" t="inlineStr">
        <is>
          <t>LG U+</t>
        </is>
      </c>
      <c r="B49" s="32" t="inlineStr">
        <is>
          <t>참쉬운가족결합</t>
        </is>
      </c>
      <c r="C49" s="33" t="inlineStr">
        <is>
          <t>inetDc = D.lgu.bundle.chweyswun.internet[sp]</t>
        </is>
      </c>
    </row>
    <row r="50">
      <c r="A50" s="24" t="inlineStr"/>
      <c r="B50" s="24" t="inlineStr"/>
      <c r="C50" s="29" t="inlineStr">
        <is>
          <t>planIdx = 요금제_구간 (3단계: 69K미만/69K↑/88K↑)</t>
        </is>
      </c>
    </row>
    <row r="51">
      <c r="A51" s="24" t="inlineStr"/>
      <c r="B51" s="24" t="inlineStr"/>
      <c r="C51" s="29" t="inlineStr">
        <is>
          <t>lineIdx = min(lines,4) - 2  ← 2회선:0, 3회선:1, 4+:2</t>
        </is>
      </c>
    </row>
    <row r="52">
      <c r="A52" s="24" t="inlineStr"/>
      <c r="B52" s="24" t="inlineStr"/>
      <c r="C52" s="29" t="inlineStr">
        <is>
          <t>mobDc = D.lgu.bundle.chweyswun.mobile[planIdx][lineIdx]</t>
        </is>
      </c>
    </row>
    <row r="53">
      <c r="A53" s="32" t="inlineStr">
        <is>
          <t>LG U+</t>
        </is>
      </c>
      <c r="B53" s="32" t="inlineStr">
        <is>
          <t>투게더 결합</t>
        </is>
      </c>
      <c r="C53" s="33" t="inlineStr">
        <is>
          <t>자격: 85K↑ 고가요금제 (100M 결합 불가)</t>
        </is>
      </c>
    </row>
    <row r="54">
      <c r="A54" s="24" t="inlineStr"/>
      <c r="B54" s="24" t="inlineStr"/>
      <c r="C54" s="29" t="inlineStr">
        <is>
          <t>inetDc = D.lgu.bundle.together.internet[sp]  (100M=0)</t>
        </is>
      </c>
    </row>
    <row r="55">
      <c r="A55" s="24" t="inlineStr"/>
      <c r="B55" s="24" t="inlineStr"/>
      <c r="C55" s="29" t="inlineStr">
        <is>
          <t>mobDc = D.lgu.bundle.together.mobile[lineIdx]</t>
        </is>
      </c>
    </row>
  </sheetData>
  <mergeCells count="6">
    <mergeCell ref="A20:B20"/>
    <mergeCell ref="A21:B21"/>
    <mergeCell ref="A24:B24"/>
    <mergeCell ref="A25:B25"/>
    <mergeCell ref="A23:B23"/>
    <mergeCell ref="A22:B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  <col width="40" customWidth="1" min="3" max="3"/>
  </cols>
  <sheetData>
    <row r="1" ht="24" customHeight="1">
      <c r="A1" s="14" t="inlineStr">
        <is>
          <t>🧮 SKT 계산 예시 — 500M + B tv 올 + WiFi 없음 + 요즘가족결합 3회선</t>
        </is>
      </c>
    </row>
    <row r="3">
      <c r="A3" s="34" t="inlineStr">
        <is>
          <t>입력값</t>
        </is>
      </c>
      <c r="B3" s="29" t="inlineStr"/>
      <c r="C3" s="35" t="inlineStr"/>
    </row>
    <row r="4">
      <c r="A4" s="36" t="inlineStr">
        <is>
          <t xml:space="preserve">  통신사</t>
        </is>
      </c>
      <c r="B4" s="29" t="inlineStr">
        <is>
          <t>SKT</t>
        </is>
      </c>
      <c r="C4" s="35" t="inlineStr">
        <is>
          <t>D["skt"]</t>
        </is>
      </c>
    </row>
    <row r="5">
      <c r="A5" s="36" t="inlineStr">
        <is>
          <t xml:space="preserve">  속도</t>
        </is>
      </c>
      <c r="B5" s="29" t="inlineStr">
        <is>
          <t>500M</t>
        </is>
      </c>
      <c r="C5" s="35" t="inlineStr"/>
    </row>
    <row r="6">
      <c r="A6" s="36" t="inlineStr">
        <is>
          <t xml:space="preserve">  TV 상품</t>
        </is>
      </c>
      <c r="B6" s="29" t="inlineStr">
        <is>
          <t>B tv 올 (tvIdx=3)</t>
        </is>
      </c>
      <c r="C6" s="35" t="inlineStr">
        <is>
          <t>D.skt.tv[3] = {p:18700, dc:2200}</t>
        </is>
      </c>
    </row>
    <row r="7">
      <c r="A7" s="36" t="inlineStr">
        <is>
          <t xml:space="preserve">  WiFi</t>
        </is>
      </c>
      <c r="B7" s="29" t="inlineStr">
        <is>
          <t>없음</t>
        </is>
      </c>
      <c r="C7" s="35" t="inlineStr"/>
    </row>
    <row r="8">
      <c r="A8" s="36" t="inlineStr">
        <is>
          <t xml:space="preserve">  결합 종류</t>
        </is>
      </c>
      <c r="B8" s="29" t="inlineStr">
        <is>
          <t>요즘가족결합 (family)</t>
        </is>
      </c>
      <c r="C8" s="35" t="inlineStr"/>
    </row>
    <row r="9">
      <c r="A9" s="36" t="inlineStr">
        <is>
          <t xml:space="preserve">  결합 인원</t>
        </is>
      </c>
      <c r="B9" s="29" t="inlineStr">
        <is>
          <t>3명</t>
        </is>
      </c>
      <c r="C9" s="35" t="inlineStr"/>
    </row>
    <row r="10">
      <c r="A10" s="37" t="inlineStr"/>
      <c r="B10" s="38" t="inlineStr"/>
      <c r="C10" s="39" t="inlineStr"/>
    </row>
    <row r="11">
      <c r="A11" s="34" t="inlineStr">
        <is>
          <t>【경로 A】 휴대폰 결합 X (요즘우리집결합만 적용)</t>
        </is>
      </c>
      <c r="B11" s="29" t="inlineStr"/>
      <c r="C11" s="35" t="inlineStr"/>
    </row>
    <row r="12">
      <c r="A12" s="36" t="inlineStr">
        <is>
          <t xml:space="preserve">  1. 인터넷 결합가 (tvInternetNoWifi)</t>
        </is>
      </c>
      <c r="B12" s="29" t="inlineStr">
        <is>
          <t>27,500원</t>
        </is>
      </c>
      <c r="C12" s="35" t="inlineStr">
        <is>
          <t>D.skt.tvInternetNoWifi["500M"]</t>
        </is>
      </c>
    </row>
    <row r="13">
      <c r="A13" s="36" t="inlineStr">
        <is>
          <t xml:space="preserve">  2. TV 최종요금 (결합할인 -2,200)</t>
        </is>
      </c>
      <c r="B13" s="29" t="inlineStr">
        <is>
          <t>16,500원</t>
        </is>
      </c>
      <c r="C13" s="35" t="inlineStr">
        <is>
          <t>18,700 - 2,200</t>
        </is>
      </c>
    </row>
    <row r="14">
      <c r="A14" s="36" t="inlineStr">
        <is>
          <t xml:space="preserve">  3. 셋톱박스 스마트3</t>
        </is>
      </c>
      <c r="B14" s="29" t="inlineStr">
        <is>
          <t>4,400원</t>
        </is>
      </c>
      <c r="C14" s="35" t="inlineStr">
        <is>
          <t>D.skt.setTop</t>
        </is>
      </c>
    </row>
    <row r="15">
      <c r="A15" s="40" t="inlineStr">
        <is>
          <t xml:space="preserve">  = 월 기본요금 (요즘우리집)</t>
        </is>
      </c>
      <c r="B15" s="28" t="inlineStr">
        <is>
          <t>48,400원</t>
        </is>
      </c>
      <c r="C15" s="41" t="inlineStr">
        <is>
          <t>27,500 + 16,500 + 4,400</t>
        </is>
      </c>
    </row>
    <row r="16">
      <c r="A16" s="37" t="inlineStr"/>
      <c r="B16" s="38" t="inlineStr"/>
      <c r="C16" s="39" t="inlineStr"/>
    </row>
    <row r="17">
      <c r="A17" s="34" t="inlineStr">
        <is>
          <t>【경로 B】 휴대폰 결합 O (요즘가족결합 적용 · 요즘우리집 REPLACE)</t>
        </is>
      </c>
      <c r="B17" s="29" t="inlineStr"/>
      <c r="C17" s="35" t="inlineStr"/>
    </row>
    <row r="18">
      <c r="A18" s="36" t="inlineStr">
        <is>
          <t xml:space="preserve">  ※ 주의: 단독가에서 재계산 (tvInternetNoWifi 사용 X)</t>
        </is>
      </c>
      <c r="B18" s="29" t="inlineStr"/>
      <c r="C18" s="35" t="inlineStr"/>
    </row>
    <row r="19">
      <c r="A19" s="36" t="inlineStr">
        <is>
          <t xml:space="preserve">  1. 인터넷 단독가 500M</t>
        </is>
      </c>
      <c r="B19" s="29" t="inlineStr">
        <is>
          <t>33,000원</t>
        </is>
      </c>
      <c r="C19" s="35" t="inlineStr">
        <is>
          <t>D.skt.internet["500M"]</t>
        </is>
      </c>
    </row>
    <row r="20">
      <c r="A20" s="36" t="inlineStr">
        <is>
          <t xml:space="preserve">  2. 요즘가족결합 인터넷 할인</t>
        </is>
      </c>
      <c r="B20" s="29" t="inlineStr">
        <is>
          <t>-11,000원</t>
        </is>
      </c>
      <c r="C20" s="35" t="inlineStr">
        <is>
          <t>D.skt.bundle.family.internet["500M"]</t>
        </is>
      </c>
    </row>
    <row r="21">
      <c r="A21" s="36" t="inlineStr">
        <is>
          <t xml:space="preserve">  → 인터넷 실질</t>
        </is>
      </c>
      <c r="B21" s="29" t="inlineStr">
        <is>
          <t>22,000원</t>
        </is>
      </c>
      <c r="C21" s="35" t="inlineStr">
        <is>
          <t>33,000 - 11,000</t>
        </is>
      </c>
    </row>
    <row r="22">
      <c r="A22" s="36" t="inlineStr">
        <is>
          <t xml:space="preserve">  3. TV 기본 (B tv 올)</t>
        </is>
      </c>
      <c r="B22" s="29" t="inlineStr">
        <is>
          <t>18,700원</t>
        </is>
      </c>
      <c r="C22" s="35" t="inlineStr">
        <is>
          <t>D.skt.tv[3].p</t>
        </is>
      </c>
    </row>
    <row r="23">
      <c r="A23" s="36" t="inlineStr">
        <is>
          <t xml:space="preserve">  4. TV 결합할인</t>
        </is>
      </c>
      <c r="B23" s="29" t="inlineStr">
        <is>
          <t>-2,200원</t>
        </is>
      </c>
      <c r="C23" s="35" t="inlineStr">
        <is>
          <t>D.skt.tv[3].dc</t>
        </is>
      </c>
    </row>
    <row r="24">
      <c r="A24" s="36" t="inlineStr">
        <is>
          <t xml:space="preserve">  5. IPTV 추가 할인 (요즘가족 전용)</t>
        </is>
      </c>
      <c r="B24" s="29" t="inlineStr">
        <is>
          <t>-1,100원</t>
        </is>
      </c>
      <c r="C24" s="35" t="inlineStr">
        <is>
          <t>D.skt.bundle.family.iptv</t>
        </is>
      </c>
    </row>
    <row r="25">
      <c r="A25" s="36" t="inlineStr">
        <is>
          <t xml:space="preserve">  → TV 실질</t>
        </is>
      </c>
      <c r="B25" s="29" t="inlineStr">
        <is>
          <t>15,400원</t>
        </is>
      </c>
      <c r="C25" s="35" t="inlineStr">
        <is>
          <t>18,700 - 2,200 - 1,100</t>
        </is>
      </c>
    </row>
    <row r="26">
      <c r="A26" s="36" t="inlineStr">
        <is>
          <t xml:space="preserve">  6. 셋톱박스</t>
        </is>
      </c>
      <c r="B26" s="29" t="inlineStr">
        <is>
          <t>4,400원</t>
        </is>
      </c>
      <c r="C26" s="35" t="inlineStr"/>
    </row>
    <row r="27">
      <c r="A27" s="36" t="inlineStr">
        <is>
          <t xml:space="preserve">  = 인터넷+TV 월 실납부</t>
        </is>
      </c>
      <c r="B27" s="29" t="inlineStr">
        <is>
          <t>41,800원</t>
        </is>
      </c>
      <c r="C27" s="35" t="inlineStr">
        <is>
          <t>22,000 + 15,400 + 4,400</t>
        </is>
      </c>
    </row>
    <row r="28">
      <c r="A28" s="37" t="inlineStr"/>
      <c r="B28" s="38" t="inlineStr"/>
      <c r="C28" s="39" t="inlineStr"/>
    </row>
    <row r="29">
      <c r="A29" s="34" t="inlineStr">
        <is>
          <t>휴대폰 고지서 별도 차감</t>
        </is>
      </c>
      <c r="B29" s="29" t="inlineStr"/>
      <c r="C29" s="35" t="inlineStr"/>
    </row>
    <row r="30">
      <c r="A30" s="36" t="inlineStr">
        <is>
          <t xml:space="preserve">  휴대폰 할인 인당 (500M, 3회선)</t>
        </is>
      </c>
      <c r="B30" s="29" t="inlineStr">
        <is>
          <t>6,000원</t>
        </is>
      </c>
      <c r="C30" s="35" t="inlineStr">
        <is>
          <t>mobilePerBySpeed["500M"][3]</t>
        </is>
      </c>
    </row>
    <row r="31">
      <c r="A31" s="36" t="inlineStr">
        <is>
          <t xml:space="preserve">  총 할인 (인당 × 회선수)</t>
        </is>
      </c>
      <c r="B31" s="29" t="inlineStr">
        <is>
          <t>-18,000원</t>
        </is>
      </c>
      <c r="C31" s="35" t="inlineStr">
        <is>
          <t>6,000 × 3</t>
        </is>
      </c>
    </row>
    <row r="32">
      <c r="A32" s="37" t="inlineStr"/>
      <c r="B32" s="38" t="inlineStr"/>
      <c r="C32" s="39" t="inlineStr"/>
    </row>
    <row r="33">
      <c r="A33" s="40" t="inlineStr">
        <is>
          <t xml:space="preserve">  🎉 혜택가 (최종)</t>
        </is>
      </c>
      <c r="B33" s="28" t="inlineStr">
        <is>
          <t>23,800원/월</t>
        </is>
      </c>
      <c r="C33" s="41" t="inlineStr">
        <is>
          <t>41,800 - 18,000</t>
        </is>
      </c>
    </row>
    <row r="34">
      <c r="A34" s="37" t="inlineStr"/>
      <c r="B34" s="38" t="inlineStr"/>
      <c r="C34" s="39" t="inlineStr"/>
    </row>
    <row r="35">
      <c r="A35" s="34" t="inlineStr">
        <is>
          <t>경로 A vs B 차이</t>
        </is>
      </c>
      <c r="B35" s="29" t="inlineStr"/>
      <c r="C35" s="35" t="inlineStr"/>
    </row>
    <row r="36">
      <c r="A36" s="36" t="inlineStr">
        <is>
          <t xml:space="preserve">  요즘우리집 (A): 48,400원</t>
        </is>
      </c>
      <c r="B36" s="29" t="inlineStr"/>
      <c r="C36" s="35" t="inlineStr">
        <is>
          <t>휴대폰 결합 없을 때</t>
        </is>
      </c>
    </row>
    <row r="37">
      <c r="A37" s="36" t="inlineStr">
        <is>
          <t xml:space="preserve">  요즘가족 (B): 23,800원</t>
        </is>
      </c>
      <c r="B37" s="29" t="inlineStr"/>
      <c r="C37" s="35" t="inlineStr">
        <is>
          <t>휴대폰 3회선 결합 시 (-24,600 절감)</t>
        </is>
      </c>
    </row>
    <row r="38">
      <c r="A38" s="37" t="inlineStr"/>
      <c r="B38" s="38" t="inlineStr"/>
      <c r="C38" s="39" t="inlineStr"/>
    </row>
    <row r="39">
      <c r="A39" s="34" t="inlineStr">
        <is>
          <t>부가 혜택</t>
        </is>
      </c>
      <c r="B39" s="29" t="inlineStr"/>
      <c r="C39" s="35" t="inlineStr"/>
    </row>
    <row r="40">
      <c r="A40" s="36" t="inlineStr">
        <is>
          <t xml:space="preserve">  설치비 (1회성, 결합)</t>
        </is>
      </c>
      <c r="B40" s="29" t="inlineStr">
        <is>
          <t>56,100원</t>
        </is>
      </c>
      <c r="C40" s="35" t="inlineStr">
        <is>
          <t>D.skt.install.combo</t>
        </is>
      </c>
    </row>
    <row r="41">
      <c r="A41" s="36" t="inlineStr">
        <is>
          <t xml:space="preserve">  사은품 (500M + TV 결합)</t>
        </is>
      </c>
      <c r="B41" s="29" t="inlineStr">
        <is>
          <t>430,000원</t>
        </is>
      </c>
      <c r="C41" s="35" t="inlineStr">
        <is>
          <t>D.skt.gift.combo["500M"]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40" customWidth="1" min="3" max="3"/>
  </cols>
  <sheetData>
    <row r="1" ht="24" customHeight="1">
      <c r="A1" s="16" t="inlineStr">
        <is>
          <t>🧮 KT 총액결합 계산 예시 — 500M+지니TV 에센스+WiFi O+총액결합(108,900원↑)</t>
        </is>
      </c>
    </row>
    <row r="3">
      <c r="A3" s="34" t="inlineStr">
        <is>
          <t>입력값</t>
        </is>
      </c>
      <c r="B3" s="29" t="inlineStr"/>
      <c r="C3" s="35" t="inlineStr"/>
    </row>
    <row r="4">
      <c r="A4" s="42" t="inlineStr">
        <is>
          <t xml:space="preserve">  통신사/속도</t>
        </is>
      </c>
      <c r="B4" s="29" t="inlineStr">
        <is>
          <t>KT 500M</t>
        </is>
      </c>
      <c r="C4" s="35" t="inlineStr"/>
    </row>
    <row r="5">
      <c r="A5" s="42" t="inlineStr">
        <is>
          <t xml:space="preserve">  TV 상품</t>
        </is>
      </c>
      <c r="B5" s="29" t="inlineStr">
        <is>
          <t>지니TV 에센스 (tvIdx=3)</t>
        </is>
      </c>
      <c r="C5" s="35" t="inlineStr">
        <is>
          <t>D.kt.tv[3] = {p:20240, dc:3740}</t>
        </is>
      </c>
    </row>
    <row r="6">
      <c r="A6" s="42" t="inlineStr">
        <is>
          <t xml:space="preserve">  WiFi</t>
        </is>
      </c>
      <c r="B6" s="29" t="inlineStr">
        <is>
          <t>사용 (+1,100원)</t>
        </is>
      </c>
      <c r="C6" s="35" t="inlineStr">
        <is>
          <t>D.kt.wifiPrice["500M"]</t>
        </is>
      </c>
    </row>
    <row r="7">
      <c r="A7" s="42" t="inlineStr">
        <is>
          <t xml:space="preserve">  결합 종류</t>
        </is>
      </c>
      <c r="B7" s="29" t="inlineStr">
        <is>
          <t>총액결합 (kt-total)</t>
        </is>
      </c>
      <c r="C7" s="35" t="inlineStr"/>
    </row>
    <row r="8">
      <c r="A8" s="42" t="inlineStr">
        <is>
          <t xml:space="preserve">  휴대폰 합산 구간</t>
        </is>
      </c>
      <c r="B8" s="29" t="inlineStr">
        <is>
          <t>108,900원 이상 (rngIdx=3)</t>
        </is>
      </c>
      <c r="C8" s="35" t="inlineStr"/>
    </row>
    <row r="9">
      <c r="A9" s="42" t="inlineStr"/>
      <c r="B9" s="29" t="inlineStr"/>
      <c r="C9" s="35" t="inlineStr"/>
    </row>
    <row r="10">
      <c r="A10" s="34" t="inlineStr">
        <is>
          <t>【기본 TV 결합 인터넷 할인】 (KT 기본)</t>
        </is>
      </c>
      <c r="B10" s="29" t="inlineStr"/>
      <c r="C10" s="35" t="inlineStr"/>
    </row>
    <row r="11">
      <c r="A11" s="42" t="inlineStr">
        <is>
          <t xml:space="preserve">  인터넷 단독 (500M)</t>
        </is>
      </c>
      <c r="B11" s="29" t="inlineStr">
        <is>
          <t>33,000원</t>
        </is>
      </c>
      <c r="C11" s="35" t="inlineStr">
        <is>
          <t>D.kt.internet["500M"]</t>
        </is>
      </c>
    </row>
    <row r="12">
      <c r="A12" s="42" t="inlineStr">
        <is>
          <t xml:space="preserve">  WiFi 추가</t>
        </is>
      </c>
      <c r="B12" s="29" t="inlineStr">
        <is>
          <t>+1,100원</t>
        </is>
      </c>
      <c r="C12" s="35" t="inlineStr"/>
    </row>
    <row r="13">
      <c r="A13" s="42" t="inlineStr">
        <is>
          <t xml:space="preserve">  인터넷 결합가 (tvInternetWithWifi)</t>
        </is>
      </c>
      <c r="B13" s="29" t="inlineStr">
        <is>
          <t>28,600원</t>
        </is>
      </c>
      <c r="C13" s="35" t="inlineStr">
        <is>
          <t>D.kt.tvInternetWithWifi["500M"]</t>
        </is>
      </c>
    </row>
    <row r="14">
      <c r="A14" s="42" t="inlineStr">
        <is>
          <t xml:space="preserve">  → 기본 TV결합 인터넷 할인</t>
        </is>
      </c>
      <c r="B14" s="29" t="inlineStr">
        <is>
          <t>-5,500원</t>
        </is>
      </c>
      <c r="C14" s="35" t="inlineStr">
        <is>
          <t>(33,000+1,100) - 28,600</t>
        </is>
      </c>
    </row>
    <row r="15">
      <c r="A15" s="42" t="inlineStr"/>
      <c r="B15" s="29" t="inlineStr"/>
      <c r="C15" s="35" t="inlineStr"/>
    </row>
    <row r="16">
      <c r="A16" s="34" t="inlineStr">
        <is>
          <t>【총액결합 추가 할인】 ← 중복 적용</t>
        </is>
      </c>
      <c r="B16" s="29" t="inlineStr"/>
      <c r="C16" s="35" t="inlineStr"/>
    </row>
    <row r="17">
      <c r="A17" s="42" t="inlineStr">
        <is>
          <t xml:space="preserve">  총액결합 인터넷 할인</t>
        </is>
      </c>
      <c r="B17" s="29" t="inlineStr">
        <is>
          <t>-5,500원</t>
        </is>
      </c>
      <c r="C17" s="35" t="inlineStr">
        <is>
          <t>D.kt.bundle.total.internet["500M"][3]</t>
        </is>
      </c>
    </row>
    <row r="18">
      <c r="A18" s="42" t="inlineStr">
        <is>
          <t xml:space="preserve">  → 인터넷 최종</t>
        </is>
      </c>
      <c r="B18" s="29" t="inlineStr">
        <is>
          <t>23,100원</t>
        </is>
      </c>
      <c r="C18" s="35" t="inlineStr">
        <is>
          <t>28,600 - 5,500</t>
        </is>
      </c>
    </row>
    <row r="19">
      <c r="A19" s="42" t="inlineStr"/>
      <c r="B19" s="29" t="inlineStr"/>
      <c r="C19" s="35" t="inlineStr"/>
    </row>
    <row r="20">
      <c r="A20" s="34" t="inlineStr">
        <is>
          <t>【TV + 셋톱】</t>
        </is>
      </c>
      <c r="B20" s="29" t="inlineStr"/>
      <c r="C20" s="35" t="inlineStr"/>
    </row>
    <row r="21">
      <c r="A21" s="42" t="inlineStr">
        <is>
          <t xml:space="preserve">  TV 기본</t>
        </is>
      </c>
      <c r="B21" s="29" t="inlineStr">
        <is>
          <t>20,240원</t>
        </is>
      </c>
      <c r="C21" s="35" t="inlineStr">
        <is>
          <t>D.kt.tv[3].p</t>
        </is>
      </c>
    </row>
    <row r="22">
      <c r="A22" s="42" t="inlineStr">
        <is>
          <t xml:space="preserve">  TV 결합할인</t>
        </is>
      </c>
      <c r="B22" s="29" t="inlineStr">
        <is>
          <t>-3,740원</t>
        </is>
      </c>
      <c r="C22" s="35" t="inlineStr">
        <is>
          <t>D.kt.tv[3].dc</t>
        </is>
      </c>
    </row>
    <row r="23">
      <c r="A23" s="42" t="inlineStr">
        <is>
          <t xml:space="preserve">  → TV 실질</t>
        </is>
      </c>
      <c r="B23" s="29" t="inlineStr">
        <is>
          <t>16,500원</t>
        </is>
      </c>
      <c r="C23" s="35" t="inlineStr">
        <is>
          <t>20,240 - 3,740</t>
        </is>
      </c>
    </row>
    <row r="24">
      <c r="A24" s="42" t="inlineStr">
        <is>
          <t xml:space="preserve">  셋톱박스 기가지니3</t>
        </is>
      </c>
      <c r="B24" s="29" t="inlineStr">
        <is>
          <t>4,400원</t>
        </is>
      </c>
      <c r="C24" s="35" t="inlineStr">
        <is>
          <t>D.kt.setTop</t>
        </is>
      </c>
    </row>
    <row r="25">
      <c r="A25" s="42" t="inlineStr"/>
      <c r="B25" s="29" t="inlineStr"/>
      <c r="C25" s="35" t="inlineStr"/>
    </row>
    <row r="26">
      <c r="A26" s="43" t="inlineStr">
        <is>
          <t>【월 실납부】</t>
        </is>
      </c>
      <c r="B26" s="31" t="inlineStr"/>
      <c r="C26" s="44" t="inlineStr"/>
    </row>
    <row r="27">
      <c r="A27" s="42" t="inlineStr">
        <is>
          <t xml:space="preserve">  인터넷+TV+셋톱</t>
        </is>
      </c>
      <c r="B27" s="29" t="inlineStr">
        <is>
          <t>44,000원</t>
        </is>
      </c>
      <c r="C27" s="35" t="inlineStr">
        <is>
          <t>23,100 + 16,500 + 4,400</t>
        </is>
      </c>
    </row>
    <row r="28">
      <c r="A28" s="42" t="inlineStr"/>
      <c r="B28" s="29" t="inlineStr"/>
      <c r="C28" s="35" t="inlineStr"/>
    </row>
    <row r="29">
      <c r="A29" s="34" t="inlineStr">
        <is>
          <t>휴대폰 고지서 별도 할인</t>
        </is>
      </c>
      <c r="B29" s="29" t="inlineStr"/>
      <c r="C29" s="35" t="inlineStr"/>
    </row>
    <row r="30">
      <c r="A30" s="42" t="inlineStr">
        <is>
          <t xml:space="preserve">  500M mobile[3]</t>
        </is>
      </c>
      <c r="B30" s="29" t="inlineStr">
        <is>
          <t>-16,610원</t>
        </is>
      </c>
      <c r="C30" s="35" t="inlineStr">
        <is>
          <t>D.kt.bundle.total.mobile["500M"][3]</t>
        </is>
      </c>
    </row>
    <row r="31">
      <c r="A31" s="42" t="inlineStr"/>
      <c r="B31" s="29" t="inlineStr"/>
      <c r="C31" s="35" t="inlineStr"/>
    </row>
    <row r="32">
      <c r="A32" s="45" t="inlineStr">
        <is>
          <t xml:space="preserve">  🎉 총 월 절감액 (vs 단독)</t>
        </is>
      </c>
      <c r="B32" s="31" t="inlineStr">
        <is>
          <t>44,000 + (-16,610) 별도</t>
        </is>
      </c>
      <c r="C32" s="44" t="inlineStr"/>
    </row>
    <row r="33">
      <c r="A33" s="42" t="inlineStr"/>
      <c r="B33" s="29" t="inlineStr"/>
      <c r="C33" s="35" t="inlineStr"/>
    </row>
    <row r="34">
      <c r="A34" s="34" t="inlineStr">
        <is>
          <t>※ KT 특성: 기본 TV결합 할인 + 총액결합 할인 **중복 적용** (STACK)</t>
        </is>
      </c>
      <c r="B34" s="29" t="inlineStr"/>
      <c r="C34" s="35" t="inlineStr"/>
    </row>
    <row r="35">
      <c r="A35" s="42" t="inlineStr">
        <is>
          <t xml:space="preserve">   → SKT 요즘가족결합(REPLACE)과 반대 방식</t>
        </is>
      </c>
      <c r="B35" s="29" t="inlineStr"/>
      <c r="C35" s="35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40" customWidth="1" min="3" max="3"/>
  </cols>
  <sheetData>
    <row r="1" ht="24" customHeight="1">
      <c r="A1" s="17" t="inlineStr">
        <is>
          <t>💎 KT 프리미엄 가족결합 계산 예시 (자료 예시 1)</t>
        </is>
      </c>
    </row>
    <row r="3">
      <c r="A3" s="34" t="inlineStr">
        <is>
          <t>입력값</t>
        </is>
      </c>
      <c r="B3" s="29" t="inlineStr"/>
      <c r="C3" s="35" t="inlineStr"/>
    </row>
    <row r="4">
      <c r="A4" s="42" t="inlineStr">
        <is>
          <t xml:space="preserve">  인터넷</t>
        </is>
      </c>
      <c r="B4" s="29" t="inlineStr">
        <is>
          <t>100M + WiFi 없음 (TV 없음)</t>
        </is>
      </c>
      <c r="C4" s="35" t="inlineStr"/>
    </row>
    <row r="5">
      <c r="A5" s="42" t="inlineStr">
        <is>
          <t xml:space="preserve">  회선 구성</t>
        </is>
      </c>
      <c r="B5" s="29" t="inlineStr">
        <is>
          <t>대표 89K + 구성원 89K(프리미엄) + 구성원 89K(프리미엄)</t>
        </is>
      </c>
      <c r="C5" s="35" t="inlineStr">
        <is>
          <t>총 3회선</t>
        </is>
      </c>
    </row>
    <row r="6">
      <c r="A6" s="42" t="inlineStr">
        <is>
          <t xml:space="preserve">  총액결합 대상</t>
        </is>
      </c>
      <c r="B6" s="29" t="inlineStr">
        <is>
          <t>대표자 89K만 (프리미엄 2명 제외)</t>
        </is>
      </c>
      <c r="C6" s="35" t="inlineStr">
        <is>
          <t>합산 89,000원</t>
        </is>
      </c>
    </row>
    <row r="7">
      <c r="A7" s="42" t="inlineStr">
        <is>
          <t xml:space="preserve">  구간 판정</t>
        </is>
      </c>
      <c r="B7" s="29" t="inlineStr">
        <is>
          <t>64,900원 이상 (index 2)</t>
        </is>
      </c>
      <c r="C7" s="35" t="inlineStr"/>
    </row>
    <row r="8">
      <c r="A8" s="42" t="inlineStr"/>
      <c r="B8" s="29" t="inlineStr"/>
      <c r="C8" s="35" t="inlineStr"/>
    </row>
    <row r="9">
      <c r="A9" s="34" t="inlineStr">
        <is>
          <t>총액결합 할인 (대표자 몫)</t>
        </is>
      </c>
      <c r="B9" s="29" t="inlineStr"/>
      <c r="C9" s="35" t="inlineStr"/>
    </row>
    <row r="10">
      <c r="A10" s="42" t="inlineStr">
        <is>
          <t xml:space="preserve">  100M mobile[index 2]</t>
        </is>
      </c>
      <c r="B10" s="29" t="inlineStr">
        <is>
          <t>-3,300원</t>
        </is>
      </c>
      <c r="C10" s="35" t="inlineStr">
        <is>
          <t>D.kt.bundle.total.mobile["100M"][2]</t>
        </is>
      </c>
    </row>
    <row r="11">
      <c r="A11" s="42" t="inlineStr"/>
      <c r="B11" s="29" t="inlineStr"/>
      <c r="C11" s="35" t="inlineStr"/>
    </row>
    <row r="12">
      <c r="A12" s="34" t="inlineStr">
        <is>
          <t>프리미엄 할인 (구성원 2명)</t>
        </is>
      </c>
      <c r="B12" s="29" t="inlineStr"/>
      <c r="C12" s="35" t="inlineStr"/>
    </row>
    <row r="13">
      <c r="A13" s="42" t="inlineStr">
        <is>
          <t xml:space="preserve">  89,000원 요금제 × 25% (정확)</t>
        </is>
      </c>
      <c r="B13" s="29" t="inlineStr">
        <is>
          <t>-22,250원 × 2 = -44,500원</t>
        </is>
      </c>
      <c r="C13" s="35" t="inlineStr">
        <is>
          <t>planCatalog[89000].dc</t>
        </is>
      </c>
    </row>
    <row r="14">
      <c r="A14" s="42" t="inlineStr"/>
      <c r="B14" s="29" t="inlineStr"/>
      <c r="C14" s="35" t="inlineStr"/>
    </row>
    <row r="15">
      <c r="A15" s="34" t="inlineStr">
        <is>
          <t>인터넷 할인 (고정)</t>
        </is>
      </c>
      <c r="B15" s="29" t="inlineStr"/>
      <c r="C15" s="35" t="inlineStr"/>
    </row>
    <row r="16">
      <c r="A16" s="42" t="inlineStr">
        <is>
          <t xml:space="preserve">  프리미엄 인터넷 할인</t>
        </is>
      </c>
      <c r="B16" s="29" t="inlineStr">
        <is>
          <t>-5,500원</t>
        </is>
      </c>
      <c r="C16" s="35" t="inlineStr">
        <is>
          <t>D.kt.bundle.premium.internet</t>
        </is>
      </c>
    </row>
    <row r="17">
      <c r="A17" s="42" t="inlineStr"/>
      <c r="B17" s="29" t="inlineStr"/>
      <c r="C17" s="35" t="inlineStr"/>
    </row>
    <row r="18">
      <c r="A18" s="34" t="inlineStr">
        <is>
          <t>합계</t>
        </is>
      </c>
      <c r="B18" s="29" t="inlineStr"/>
      <c r="C18" s="35" t="inlineStr"/>
    </row>
    <row r="19">
      <c r="A19" s="45" t="inlineStr">
        <is>
          <t xml:space="preserve">  총 할인액</t>
        </is>
      </c>
      <c r="B19" s="31" t="inlineStr">
        <is>
          <t>-53,300원</t>
        </is>
      </c>
      <c r="C19" s="44" t="inlineStr">
        <is>
          <t>3,300 + 44,500 + 5,500</t>
        </is>
      </c>
    </row>
    <row r="20">
      <c r="A20" s="42" t="inlineStr">
        <is>
          <t xml:space="preserve">  총액결합만 했을 때 비교</t>
        </is>
      </c>
      <c r="B20" s="29" t="inlineStr">
        <is>
          <t>-28,600원</t>
        </is>
      </c>
      <c r="C20" s="35" t="inlineStr">
        <is>
          <t>(174,900↑ 구간 기준)</t>
        </is>
      </c>
    </row>
    <row r="21">
      <c r="A21" s="46" t="inlineStr">
        <is>
          <t xml:space="preserve">  💎 프리미엄 선택 시 추가 이득</t>
        </is>
      </c>
      <c r="B21" s="47" t="inlineStr">
        <is>
          <t>+24,700원 더 할인</t>
        </is>
      </c>
      <c r="C21" s="48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30" customWidth="1" min="5" max="5"/>
  </cols>
  <sheetData>
    <row r="1" ht="32" customHeight="1">
      <c r="A1" s="49" t="inlineStr">
        <is>
          <t>🧮 SKT 요즘가족결합 계산기</t>
        </is>
      </c>
    </row>
    <row r="3">
      <c r="A3" s="50" t="inlineStr">
        <is>
          <t>📝 입력 (노란 셀 수정)</t>
        </is>
      </c>
    </row>
    <row r="4">
      <c r="A4" s="51" t="inlineStr">
        <is>
          <t>속도</t>
        </is>
      </c>
      <c r="B4" s="52" t="inlineStr">
        <is>
          <t>500M</t>
        </is>
      </c>
      <c r="C4" s="53" t="inlineStr">
        <is>
          <t>← 여기 수정</t>
        </is>
      </c>
      <c r="D4" s="54" t="inlineStr">
        <is>
          <t>D.skt.internet</t>
        </is>
      </c>
    </row>
    <row r="5">
      <c r="A5" s="51" t="inlineStr">
        <is>
          <t>TV 상품 (1=없음, 2~10=선택)</t>
        </is>
      </c>
      <c r="B5" s="52" t="n">
        <v>4</v>
      </c>
      <c r="C5" s="53" t="inlineStr">
        <is>
          <t>← 여기 수정</t>
        </is>
      </c>
      <c r="D5" s="54" t="inlineStr">
        <is>
          <t>1=TV없음, 2=이코노미, 3=스탠다드, 4=올, ..., 10=올넷프리미엄</t>
        </is>
      </c>
    </row>
    <row r="6">
      <c r="A6" s="51" t="inlineStr">
        <is>
          <t>WiFi 사용</t>
        </is>
      </c>
      <c r="B6" s="52" t="inlineStr">
        <is>
          <t>N</t>
        </is>
      </c>
      <c r="C6" s="53" t="inlineStr">
        <is>
          <t>← 여기 수정</t>
        </is>
      </c>
      <c r="D6" s="54" t="inlineStr">
        <is>
          <t>Y/N</t>
        </is>
      </c>
    </row>
    <row r="7">
      <c r="A7" s="51" t="inlineStr">
        <is>
          <t>휴대폰 회선수</t>
        </is>
      </c>
      <c r="B7" s="52" t="n">
        <v>3</v>
      </c>
      <c r="C7" s="53" t="inlineStr">
        <is>
          <t>← 여기 수정</t>
        </is>
      </c>
      <c r="D7" s="54" t="inlineStr">
        <is>
          <t>1~5 (0=결합 없음)</t>
        </is>
      </c>
    </row>
    <row r="9">
      <c r="A9" s="50" t="inlineStr">
        <is>
          <t>🧮 자동 계산</t>
        </is>
      </c>
    </row>
    <row r="10">
      <c r="A10" s="55" t="inlineStr">
        <is>
          <t>인터넷 단독가</t>
        </is>
      </c>
      <c r="B10" s="56">
        <f>IF(B4="100M",22000,IF(B4="500M",33000,38500))</f>
        <v/>
      </c>
    </row>
    <row r="11">
      <c r="A11" s="55" t="inlineStr">
        <is>
          <t>TV 상품 가격 (p)</t>
        </is>
      </c>
      <c r="B11" s="56">
        <f>IF(B5=1,0,CHOOSE(B5-1,12100,15400,18700,23100,24200,27700,30200,30700,33200))</f>
        <v/>
      </c>
    </row>
    <row r="12">
      <c r="A12" s="55" t="inlineStr">
        <is>
          <t>TV 결합 할인 (dc)</t>
        </is>
      </c>
      <c r="B12" s="56">
        <f>IF(B5=1,0,2200)</f>
        <v/>
      </c>
    </row>
    <row r="13">
      <c r="A13" s="55" t="inlineStr">
        <is>
          <t>WiFi 추가금</t>
        </is>
      </c>
      <c r="B13" s="56">
        <f>IF(B6="Y",1100,0)</f>
        <v/>
      </c>
    </row>
    <row r="14">
      <c r="A14" s="55" t="inlineStr">
        <is>
          <t>tvInternetNoWifi</t>
        </is>
      </c>
      <c r="B14" s="56">
        <f>IF(B4="100M",19800,IF(B4="500M",27500,33000))</f>
        <v/>
      </c>
    </row>
    <row r="15">
      <c r="A15" s="55" t="inlineStr">
        <is>
          <t>tvInternetWithWifi</t>
        </is>
      </c>
      <c r="B15" s="56">
        <f>IF(B4="100M",22000,IF(B4="500M",28600,34100))</f>
        <v/>
      </c>
    </row>
    <row r="16">
      <c r="A16" s="55" t="inlineStr">
        <is>
          <t>요즘가족결합 인터넷 할인</t>
        </is>
      </c>
      <c r="B16" s="56">
        <f>IF(B7=0,0,IF(B4="100M",4400,IF(B4="500M",11000,13200)))</f>
        <v/>
      </c>
    </row>
    <row r="17">
      <c r="A17" s="55" t="inlineStr">
        <is>
          <t>IPTV 추가 할인 (TV 있고 결합 시)</t>
        </is>
      </c>
      <c r="B17" s="56">
        <f>IF(AND(B7&gt;0,B5&gt;1),1100,0)</f>
        <v/>
      </c>
    </row>
    <row r="18">
      <c r="A18" s="55" t="inlineStr">
        <is>
          <t>휴대폰 인당 할인</t>
        </is>
      </c>
      <c r="B18" s="56">
        <f>IF(B7=0,0,IF(B4="100M",CHOOSE(B7,3500,3500,6000,4500,3600),CHOOSE(B7,3500,3500,6000,6000,4800)))</f>
        <v/>
      </c>
    </row>
    <row r="19">
      <c r="A19" s="55" t="inlineStr">
        <is>
          <t>휴대폰 총 할인 (인당 × 회선수)</t>
        </is>
      </c>
      <c r="B19" s="56">
        <f>B18*B7</f>
        <v/>
      </c>
    </row>
    <row r="21">
      <c r="A21" s="50" t="inlineStr">
        <is>
          <t>💰 결과</t>
        </is>
      </c>
    </row>
    <row r="22">
      <c r="A22" s="57" t="inlineStr">
        <is>
          <t>【경로 A】 휴대폰 결합 X</t>
        </is>
      </c>
    </row>
    <row r="23">
      <c r="A23" s="55" t="inlineStr">
        <is>
          <t xml:space="preserve">  월 기본요금 (요즘우리집)</t>
        </is>
      </c>
      <c r="B23" s="58">
        <f>IF(B5=1,B10+B13,IF(B6="Y",B15,B14)+(B11-B12)+4400)</f>
        <v/>
      </c>
    </row>
    <row r="24">
      <c r="A24" s="59" t="inlineStr">
        <is>
          <t>【경로 B】 휴대폰 결합 O (요즘가족)</t>
        </is>
      </c>
    </row>
    <row r="25">
      <c r="A25" s="55" t="inlineStr">
        <is>
          <t xml:space="preserve">  인터넷 (단독가 - 요즘가족할인)</t>
        </is>
      </c>
      <c r="B25" s="58">
        <f>B10+B13-B16</f>
        <v/>
      </c>
    </row>
    <row r="26">
      <c r="A26" s="55" t="inlineStr">
        <is>
          <t xml:space="preserve">  TV (기본 - 결합할인 - IPTV 추가)</t>
        </is>
      </c>
      <c r="B26" s="58">
        <f>IF(B5=1,0,B11-B12-B17)</f>
        <v/>
      </c>
    </row>
    <row r="27">
      <c r="A27" s="55" t="inlineStr">
        <is>
          <t xml:space="preserve">  셋톱박스 (TV 있을 때만)</t>
        </is>
      </c>
      <c r="B27" s="58">
        <f>IF(B5=1,0,4400)</f>
        <v/>
      </c>
    </row>
    <row r="28">
      <c r="A28" s="55" t="inlineStr">
        <is>
          <t xml:space="preserve">  = 인터넷+TV 월 실납부</t>
        </is>
      </c>
      <c r="B28" s="58">
        <f>B25+B26+B27</f>
        <v/>
      </c>
    </row>
    <row r="29">
      <c r="A29" s="55" t="inlineStr">
        <is>
          <t xml:space="preserve">  - 휴대폰 고지서 별도 차감</t>
        </is>
      </c>
      <c r="B29" s="58">
        <f>-B19</f>
        <v/>
      </c>
    </row>
    <row r="30">
      <c r="A30" s="55" t="inlineStr">
        <is>
          <t>🎉 혜택가 (최종)</t>
        </is>
      </c>
      <c r="B30" s="60">
        <f>B28-B19</f>
        <v/>
      </c>
    </row>
    <row r="32">
      <c r="A32" s="61" t="inlineStr">
        <is>
          <t>🎁 부가 (참고)</t>
        </is>
      </c>
    </row>
    <row r="33">
      <c r="A33" s="55" t="inlineStr">
        <is>
          <t xml:space="preserve">  설치비 (1회성)</t>
        </is>
      </c>
      <c r="B33" s="56">
        <f>IF(B5=1,36300,56100)</f>
        <v/>
      </c>
    </row>
    <row r="34">
      <c r="A34" s="55" t="inlineStr">
        <is>
          <t xml:space="preserve">  사은품 (속도×TV결합)</t>
        </is>
      </c>
      <c r="B34" s="56">
        <f>IF(B5=1,IF(B4="100M",110000,170000),CHOOSE(MATCH(B4,{"100M","500M","1G"},0),400000,430000,490000))</f>
        <v/>
      </c>
    </row>
    <row r="37">
      <c r="A37" s="7" t="inlineStr">
        <is>
          <t>※ B4(속도)·B5(TV)·B6(WiFi)·B7(회선) 입력 셀만 수정하면 자동 재계산됩니다.</t>
        </is>
      </c>
    </row>
  </sheetData>
  <mergeCells count="2">
    <mergeCell ref="A1:E1"/>
    <mergeCell ref="A37:E37"/>
  </mergeCells>
  <dataValidations count="2">
    <dataValidation sqref="B4" showDropDown="0" showInputMessage="0" showErrorMessage="0" allowBlank="0" type="list">
      <formula1>"100M,500M,1G"</formula1>
    </dataValidation>
    <dataValidation sqref="B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30" customWidth="1" min="5" max="5"/>
  </cols>
  <sheetData>
    <row r="1" ht="32" customHeight="1">
      <c r="A1" s="62" t="inlineStr">
        <is>
          <t>🧮 KT 총액결합 계산기 (STACK)</t>
        </is>
      </c>
    </row>
    <row r="3">
      <c r="A3" s="50" t="inlineStr">
        <is>
          <t>📝 입력</t>
        </is>
      </c>
    </row>
    <row r="4">
      <c r="A4" s="51" t="inlineStr">
        <is>
          <t>속도</t>
        </is>
      </c>
      <c r="B4" s="52" t="inlineStr">
        <is>
          <t>500M</t>
        </is>
      </c>
      <c r="C4" s="53" t="inlineStr">
        <is>
          <t>← 여기 수정</t>
        </is>
      </c>
      <c r="D4" s="54" t="inlineStr">
        <is>
          <t>100M/500M/1G</t>
        </is>
      </c>
    </row>
    <row r="5">
      <c r="A5" s="51" t="inlineStr">
        <is>
          <t>TV 상품 (1=없음, 2~6=선택)</t>
        </is>
      </c>
      <c r="B5" s="52" t="n">
        <v>3</v>
      </c>
      <c r="C5" s="53" t="inlineStr">
        <is>
          <t>← 여기 수정</t>
        </is>
      </c>
      <c r="D5" s="54" t="inlineStr">
        <is>
          <t>1=없음, 2=베이직, 3=라이트, 4=에센스, 5=모든G, 6=디즈니+</t>
        </is>
      </c>
    </row>
    <row r="6">
      <c r="A6" s="51" t="inlineStr">
        <is>
          <t>WiFi 사용</t>
        </is>
      </c>
      <c r="B6" s="52" t="inlineStr">
        <is>
          <t>Y</t>
        </is>
      </c>
      <c r="C6" s="53" t="inlineStr">
        <is>
          <t>← 여기 수정</t>
        </is>
      </c>
      <c r="D6" s="54" t="inlineStr">
        <is>
          <t>Y/N</t>
        </is>
      </c>
    </row>
    <row r="7">
      <c r="A7" s="51" t="inlineStr">
        <is>
          <t>총액결합 구간 (1~6)</t>
        </is>
      </c>
      <c r="B7" s="52" t="n">
        <v>4</v>
      </c>
      <c r="C7" s="53" t="inlineStr">
        <is>
          <t>← 여기 수정</t>
        </is>
      </c>
      <c r="D7" s="54" t="inlineStr">
        <is>
          <t>1=22K↓, 2=22K↑, 3=64.9K↑, 4=108.9K↑, 5=141.9K↑, 6=174.9K↑</t>
        </is>
      </c>
    </row>
    <row r="9">
      <c r="A9" s="50" t="inlineStr">
        <is>
          <t>🧮 자동 계산</t>
        </is>
      </c>
    </row>
    <row r="10">
      <c r="A10" s="55" t="inlineStr">
        <is>
          <t>인터넷 단독가</t>
        </is>
      </c>
      <c r="B10" s="56">
        <f>IF(B4="100M",22000,IF(B4="500M",33000,38500))</f>
        <v/>
      </c>
    </row>
    <row r="11">
      <c r="A11" s="55" t="inlineStr">
        <is>
          <t>TV 가격</t>
        </is>
      </c>
      <c r="B11" s="56">
        <f>IF(B5=1,0,CHOOSE(B5-1,14740,15840,20240,21340,28100))</f>
        <v/>
      </c>
    </row>
    <row r="12">
      <c r="A12" s="55" t="inlineStr">
        <is>
          <t>TV 결합할인</t>
        </is>
      </c>
      <c r="B12" s="56">
        <f>IF(B5=1,0,CHOOSE(B5-1,2640,2640,3740,4400,6600))</f>
        <v/>
      </c>
    </row>
    <row r="13">
      <c r="A13" s="55" t="inlineStr">
        <is>
          <t>WiFi 추가금 (속도별)</t>
        </is>
      </c>
      <c r="B13" s="56">
        <f>IF(B6="Y",IF(B4="1G",0,1100),0)</f>
        <v/>
      </c>
    </row>
    <row r="14">
      <c r="A14" s="55" t="inlineStr">
        <is>
          <t>tvInternetNoWifi</t>
        </is>
      </c>
      <c r="B14" s="56">
        <f>IF(B4="100M",22000,IF(B4="500M",27500,33000))</f>
        <v/>
      </c>
    </row>
    <row r="15">
      <c r="A15" s="55" t="inlineStr">
        <is>
          <t>tvInternetWithWifi</t>
        </is>
      </c>
      <c r="B15" s="56">
        <f>IF(B4="100M",23100,IF(B4="500M",28600,33000))</f>
        <v/>
      </c>
    </row>
    <row r="16">
      <c r="A16" s="55" t="inlineStr">
        <is>
          <t>총액결합 인터넷 할인</t>
        </is>
      </c>
      <c r="B16" s="56">
        <f>IF(B4="100M",CHOOSE(B7,1650,3300,5500,5500,5500,5500),IF(B4="500M",CHOOSE(B7,2200,5500,5500,5500,5500,5500),CHOOSE(B7,2200,5500,5500,5500,5500,5500)))</f>
        <v/>
      </c>
    </row>
    <row r="17">
      <c r="A17" s="55" t="inlineStr">
        <is>
          <t>총액결합 휴대폰 할인</t>
        </is>
      </c>
      <c r="B17" s="56">
        <f>IF(B4="100M",CHOOSE(B7,0,0,3300,14300,18700,23100),CHOOSE(B7,0,0,5500,16610,22110,27610))</f>
        <v/>
      </c>
    </row>
    <row r="19">
      <c r="A19" s="50" t="inlineStr">
        <is>
          <t>💰 결과</t>
        </is>
      </c>
    </row>
    <row r="20">
      <c r="A20" s="55" t="inlineStr">
        <is>
          <t xml:space="preserve">  인터넷 결합가 (기본 TV결합)</t>
        </is>
      </c>
      <c r="B20" s="63">
        <f>IF(B5=1,B10+B13,IF(B6="Y",B15,B14))</f>
        <v/>
      </c>
    </row>
    <row r="21">
      <c r="A21" s="55" t="inlineStr">
        <is>
          <t xml:space="preserve">  - 총액결합 추가 할인 (STACK)</t>
        </is>
      </c>
      <c r="B21" s="63">
        <f>-B16</f>
        <v/>
      </c>
    </row>
    <row r="22">
      <c r="A22" s="55" t="inlineStr">
        <is>
          <t xml:space="preserve">  TV 최종</t>
        </is>
      </c>
      <c r="B22" s="63">
        <f>IF(B5=1,0,B11-B12)</f>
        <v/>
      </c>
    </row>
    <row r="23">
      <c r="A23" s="55" t="inlineStr">
        <is>
          <t xml:space="preserve">  셋톱박스</t>
        </is>
      </c>
      <c r="B23" s="63">
        <f>IF(B5=1,0,4400)</f>
        <v/>
      </c>
    </row>
    <row r="24">
      <c r="A24" s="55" t="inlineStr">
        <is>
          <t xml:space="preserve">  = 인터넷+TV 월 실납부</t>
        </is>
      </c>
      <c r="B24" s="63">
        <f>B20-B16+B22+B23</f>
        <v/>
      </c>
    </row>
    <row r="25">
      <c r="A25" s="55" t="inlineStr">
        <is>
          <t xml:space="preserve">  - 휴대폰 고지서 별도 차감</t>
        </is>
      </c>
      <c r="B25" s="63">
        <f>-B17</f>
        <v/>
      </c>
    </row>
    <row r="26">
      <c r="A26" s="55" t="inlineStr">
        <is>
          <t>🎉 혜택가 (최종)</t>
        </is>
      </c>
      <c r="B26" s="64">
        <f>B24-B17</f>
        <v/>
      </c>
    </row>
  </sheetData>
  <mergeCells count="1">
    <mergeCell ref="A1:E1"/>
  </mergeCells>
  <dataValidations count="2">
    <dataValidation sqref="B4" showDropDown="0" showInputMessage="0" showErrorMessage="0" allowBlank="0" type="list">
      <formula1>"100M,500M,1G"</formula1>
    </dataValidation>
    <dataValidation sqref="B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30" customWidth="1" min="5" max="5"/>
  </cols>
  <sheetData>
    <row r="1" ht="32" customHeight="1">
      <c r="A1" s="65" t="inlineStr">
        <is>
          <t>🧮 LG U+ 참쉬운가족결합 계산기</t>
        </is>
      </c>
    </row>
    <row r="3">
      <c r="A3" s="50" t="inlineStr">
        <is>
          <t>📝 입력</t>
        </is>
      </c>
    </row>
    <row r="4">
      <c r="A4" s="51" t="inlineStr">
        <is>
          <t>속도</t>
        </is>
      </c>
      <c r="B4" s="52" t="inlineStr">
        <is>
          <t>500M</t>
        </is>
      </c>
      <c r="C4" s="53" t="inlineStr">
        <is>
          <t>← 여기 수정</t>
        </is>
      </c>
      <c r="D4" s="54" t="inlineStr">
        <is>
          <t>100M/500M/1G</t>
        </is>
      </c>
    </row>
    <row r="5">
      <c r="A5" s="51" t="inlineStr">
        <is>
          <t>TV 상품 (1=없음, 2~5=선택)</t>
        </is>
      </c>
      <c r="B5" s="52" t="n">
        <v>3</v>
      </c>
      <c r="C5" s="53" t="inlineStr">
        <is>
          <t>← 여기 수정</t>
        </is>
      </c>
      <c r="D5" s="54" t="inlineStr">
        <is>
          <t>1=없음, 2=실속형, 3=기본형, 4=프리미엄, 5=프리미엄 VOD</t>
        </is>
      </c>
    </row>
    <row r="6">
      <c r="A6" s="51" t="inlineStr">
        <is>
          <t>휴대폰 요금 구간 (1~3)</t>
        </is>
      </c>
      <c r="B6" s="52" t="n">
        <v>2</v>
      </c>
      <c r="C6" s="53" t="inlineStr">
        <is>
          <t>← 여기 수정</t>
        </is>
      </c>
      <c r="D6" s="54" t="inlineStr">
        <is>
          <t>1=69K미만, 2=69K↑, 3=88K↑</t>
        </is>
      </c>
    </row>
    <row r="7">
      <c r="A7" s="51" t="inlineStr">
        <is>
          <t>결합 회선수 (2~4)</t>
        </is>
      </c>
      <c r="B7" s="52" t="n">
        <v>3</v>
      </c>
      <c r="C7" s="53" t="inlineStr">
        <is>
          <t>← 여기 수정</t>
        </is>
      </c>
      <c r="D7" s="54" t="inlineStr">
        <is>
          <t>2/3/4+ (1회선은 결합 불가)</t>
        </is>
      </c>
    </row>
    <row r="9">
      <c r="A9" s="50" t="inlineStr">
        <is>
          <t>🧮 자동 계산</t>
        </is>
      </c>
    </row>
    <row r="10">
      <c r="A10" s="55" t="inlineStr">
        <is>
          <t>인터넷 단독가</t>
        </is>
      </c>
      <c r="B10" s="56">
        <f>IF(B4="100M",22000,IF(B4="500M",33000,38500))</f>
        <v/>
      </c>
    </row>
    <row r="11">
      <c r="A11" s="55" t="inlineStr">
        <is>
          <t>TV 가격</t>
        </is>
      </c>
      <c r="B11" s="56">
        <f>IF(B5=1,0,CHOOSE(B5-1,15400,16500,18700,24200))</f>
        <v/>
      </c>
    </row>
    <row r="12">
      <c r="A12" s="55" t="inlineStr">
        <is>
          <t>TV 결합할인</t>
        </is>
      </c>
      <c r="B12" s="56">
        <f>IF(B5=1,0,CHOOSE(B5-1,2200,2200,2200,5500))</f>
        <v/>
      </c>
    </row>
    <row r="13">
      <c r="A13" s="55" t="inlineStr">
        <is>
          <t>WiFi 추가금 (전속도 무료)</t>
        </is>
      </c>
      <c r="B13" s="56">
        <f>0</f>
        <v/>
      </c>
    </row>
    <row r="14">
      <c r="A14" s="55" t="inlineStr">
        <is>
          <t>참쉬운 인터넷 할인</t>
        </is>
      </c>
      <c r="B14" s="56">
        <f>IF(B4="100M",5500,IF(B4="500M",9900,13200))</f>
        <v/>
      </c>
    </row>
    <row r="15">
      <c r="A15" s="55" t="inlineStr">
        <is>
          <t>참쉬운 휴대폰 인당 할인</t>
        </is>
      </c>
      <c r="B15" s="56">
        <f>CHOOSE(B6,CHOOSE(MIN(B7,4)-1,2200,3300,4400),CHOOSE(MIN(B7,4)-1,3300,5500,6600),CHOOSE(MIN(B7,4)-1,4400,6600,8800))</f>
        <v/>
      </c>
    </row>
    <row r="16">
      <c r="A16" s="55" t="inlineStr">
        <is>
          <t>휴대폰 총 할인</t>
        </is>
      </c>
      <c r="B16" s="56">
        <f>B15*MIN(B7,4)</f>
        <v/>
      </c>
    </row>
    <row r="18">
      <c r="A18" s="50" t="inlineStr">
        <is>
          <t>💰 결과</t>
        </is>
      </c>
    </row>
    <row r="19">
      <c r="A19" s="55" t="inlineStr">
        <is>
          <t xml:space="preserve">  인터넷 (단독가 - 참쉬운할인)</t>
        </is>
      </c>
      <c r="B19" s="66">
        <f>B10+B13-B14</f>
        <v/>
      </c>
    </row>
    <row r="20">
      <c r="A20" s="55" t="inlineStr">
        <is>
          <t xml:space="preserve">  TV 최종</t>
        </is>
      </c>
      <c r="B20" s="66">
        <f>IF(B5=1,0,B11-B12)</f>
        <v/>
      </c>
    </row>
    <row r="21">
      <c r="A21" s="55" t="inlineStr">
        <is>
          <t xml:space="preserve">  셋톱박스</t>
        </is>
      </c>
      <c r="B21" s="66">
        <f>IF(B5=1,0,4400)</f>
        <v/>
      </c>
    </row>
    <row r="22">
      <c r="A22" s="55" t="inlineStr">
        <is>
          <t xml:space="preserve">  = 인터넷+TV 월 실납부</t>
        </is>
      </c>
      <c r="B22" s="66">
        <f>B19+B20+B21</f>
        <v/>
      </c>
    </row>
    <row r="23">
      <c r="A23" s="55" t="inlineStr">
        <is>
          <t xml:space="preserve">  - 휴대폰 고지서 별도 차감</t>
        </is>
      </c>
      <c r="B23" s="66">
        <f>-B16</f>
        <v/>
      </c>
    </row>
    <row r="24">
      <c r="A24" s="55" t="inlineStr">
        <is>
          <t>🎉 혜택가 (최종)</t>
        </is>
      </c>
      <c r="B24" s="67">
        <f>B22-B16</f>
        <v/>
      </c>
    </row>
  </sheetData>
  <mergeCells count="1">
    <mergeCell ref="A1:E1"/>
  </mergeCells>
  <dataValidations count="1">
    <dataValidation sqref="B4" showDropDown="0" showInputMessage="0" showErrorMessage="0" allowBlank="0" type="list">
      <formula1>"100M,500M,1G"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24" customHeight="1">
      <c r="A1" s="3" t="inlineStr">
        <is>
          <t>📐 D 객체 JSON 스키마 (TypeScript 인터페이스)</t>
        </is>
      </c>
    </row>
    <row r="3">
      <c r="A3" s="68" t="inlineStr">
        <is>
          <t>interface CarrierData {</t>
        </is>
      </c>
    </row>
    <row r="4">
      <c r="A4" s="68" t="inlineStr">
        <is>
          <t xml:space="preserve">  name: string;          // "SKT (B tv)"</t>
        </is>
      </c>
    </row>
    <row r="5">
      <c r="A5" s="68" t="inlineStr">
        <is>
          <t xml:space="preserve">  prefix: string;        // "SK" | "KT" | "LG"</t>
        </is>
      </c>
    </row>
    <row r="6">
      <c r="A6" s="68" t="inlineStr">
        <is>
          <t xml:space="preserve">  internet: Record&lt;"100M"|"500M"|"1G", number&gt;;</t>
        </is>
      </c>
    </row>
    <row r="7">
      <c r="A7" s="68" t="inlineStr">
        <is>
          <t xml:space="preserve">  wifiCost?: number;     // SKT, LGU+ 사용 (단일값)</t>
        </is>
      </c>
    </row>
    <row r="8">
      <c r="A8" s="68" t="inlineStr">
        <is>
          <t xml:space="preserve">  wifiPrice?: Record&lt;"100M"|"500M"|"1G", number&gt;;  // KT 사용 (속도별)</t>
        </is>
      </c>
    </row>
    <row r="9">
      <c r="A9" s="68" t="inlineStr">
        <is>
          <t xml:space="preserve">  setTopOptions: SetTop[];</t>
        </is>
      </c>
    </row>
    <row r="10">
      <c r="A10" s="68" t="inlineStr">
        <is>
          <t xml:space="preserve">  wifiOptions: WiFi[];</t>
        </is>
      </c>
    </row>
    <row r="11">
      <c r="A11" s="68" t="inlineStr">
        <is>
          <t xml:space="preserve">  tvInternetNoWifi: Record&lt;"100M"|"500M"|"1G", number&gt;;</t>
        </is>
      </c>
    </row>
    <row r="12">
      <c r="A12" s="68" t="inlineStr">
        <is>
          <t xml:space="preserve">  tvInternetWithWifi: Record&lt;"100M"|"500M"|"1G", number&gt;;</t>
        </is>
      </c>
    </row>
    <row r="13">
      <c r="A13" s="68" t="inlineStr">
        <is>
          <t xml:space="preserve">  tv: TVProduct[];</t>
        </is>
      </c>
    </row>
    <row r="14">
      <c r="A14" s="68" t="inlineStr">
        <is>
          <t xml:space="preserve">  install: { solo: number; combo: number; };</t>
        </is>
      </c>
    </row>
    <row r="15">
      <c r="A15" s="68" t="inlineStr">
        <is>
          <t xml:space="preserve">  gift: { solo: SpeedMap; combo: SpeedMap; };</t>
        </is>
      </c>
    </row>
    <row r="16">
      <c r="A16" s="68" t="inlineStr">
        <is>
          <t xml:space="preserve">  bundle: BundleConfig;  // 통신사별 상이</t>
        </is>
      </c>
    </row>
    <row r="17">
      <c r="A17" s="68" t="inlineStr">
        <is>
          <t>}</t>
        </is>
      </c>
    </row>
    <row r="18">
      <c r="A18" s="68" t="inlineStr"/>
    </row>
    <row r="19">
      <c r="A19" s="68" t="inlineStr">
        <is>
          <t>interface SetTop { id: string; name: string; fee: number; isDefault?: boolean; active: boolean; }</t>
        </is>
      </c>
    </row>
    <row r="20">
      <c r="A20" s="68" t="inlineStr">
        <is>
          <t>interface WiFi { id: string; name: string; fees: Record&lt;"100M"|"500M"|"1G", number&gt;; isDefault?: boolean; active: boolean; }</t>
        </is>
      </c>
    </row>
    <row r="21">
      <c r="A21" s="68" t="inlineStr">
        <is>
          <t>interface TVProduct { n: string; p: number; dc: number; }  // n=이름, p=단독가, dc=결합할인</t>
        </is>
      </c>
    </row>
    <row r="22">
      <c r="A22" s="68" t="inlineStr"/>
    </row>
    <row r="23">
      <c r="A23" s="68" t="inlineStr">
        <is>
          <t>type BundleConfig =</t>
        </is>
      </c>
    </row>
    <row r="24">
      <c r="A24" s="68" t="inlineStr">
        <is>
          <t xml:space="preserve">  | { family: SktFamily }                              // SKT</t>
        </is>
      </c>
    </row>
    <row r="25">
      <c r="A25" s="68" t="inlineStr">
        <is>
          <t xml:space="preserve">  | { ranges_total, total, ranges_fixed, fixed, premium }  // KT</t>
        </is>
      </c>
    </row>
    <row r="26">
      <c r="A26" s="68" t="inlineStr">
        <is>
          <t xml:space="preserve">  | { chweyswun, together };                           // LGU+</t>
        </is>
      </c>
    </row>
    <row r="27">
      <c r="A27" s="68" t="inlineStr"/>
    </row>
    <row r="28">
      <c r="A28" s="68" t="inlineStr">
        <is>
          <t>interface SktFamily {</t>
        </is>
      </c>
    </row>
    <row r="29">
      <c r="A29" s="68" t="inlineStr">
        <is>
          <t xml:space="preserve">  internet: SpeedMap;</t>
        </is>
      </c>
    </row>
    <row r="30">
      <c r="A30" s="68" t="inlineStr">
        <is>
          <t xml:space="preserve">  iptv: number;  // 1100</t>
        </is>
      </c>
    </row>
    <row r="31">
      <c r="A31" s="68" t="inlineStr">
        <is>
          <t xml:space="preserve">  mobilePerBySpeed: Record&lt;Speed, Record&lt;1|2|3|4|5, number&gt;&gt;;</t>
        </is>
      </c>
    </row>
    <row r="32">
      <c r="A32" s="68" t="inlineStr">
        <is>
          <t>}</t>
        </is>
      </c>
    </row>
    <row r="33">
      <c r="A33" s="68" t="inlineStr"/>
    </row>
    <row r="34">
      <c r="A34" s="68" t="inlineStr">
        <is>
          <t>interface KTTotal {</t>
        </is>
      </c>
    </row>
    <row r="35">
      <c r="A35" s="68" t="inlineStr">
        <is>
          <t xml:space="preserve">  internet: Record&lt;Speed, number[]&gt;;  // 6구간</t>
        </is>
      </c>
    </row>
    <row r="36">
      <c r="A36" s="68" t="inlineStr">
        <is>
          <t xml:space="preserve">  mobile: Record&lt;Speed, number[]&gt;;    // 6구간</t>
        </is>
      </c>
    </row>
    <row r="37">
      <c r="A37" s="68" t="inlineStr">
        <is>
          <t>}</t>
        </is>
      </c>
    </row>
    <row r="38">
      <c r="A38" s="68" t="inlineStr"/>
    </row>
    <row r="39">
      <c r="A39" s="68" t="inlineStr">
        <is>
          <t>interface KTPremium {</t>
        </is>
      </c>
    </row>
    <row r="40">
      <c r="A40" s="68" t="inlineStr">
        <is>
          <t xml:space="preserve">  internet: 5500;</t>
        </is>
      </c>
    </row>
    <row r="41">
      <c r="A41" s="68" t="inlineStr">
        <is>
          <t xml:space="preserve">  planCatalog: Array&lt;{ v: number; label: string; dc: number; prem: boolean }&gt;;</t>
        </is>
      </c>
    </row>
    <row r="42">
      <c r="A42" s="68" t="inlineStr">
        <is>
          <t>}</t>
        </is>
      </c>
    </row>
    <row r="43">
      <c r="A43" s="68" t="inlineStr"/>
    </row>
    <row r="44">
      <c r="A44" s="68" t="inlineStr">
        <is>
          <t>interface LguChweyswun {</t>
        </is>
      </c>
    </row>
    <row r="45">
      <c r="A45" s="68" t="inlineStr">
        <is>
          <t xml:space="preserve">  internet: SpeedMap;</t>
        </is>
      </c>
    </row>
    <row r="46">
      <c r="A46" s="68" t="inlineStr">
        <is>
          <t xml:space="preserve">  planLabels: string[];  // 3개</t>
        </is>
      </c>
    </row>
    <row r="47">
      <c r="A47" s="68" t="inlineStr">
        <is>
          <t xml:space="preserve">  mobile: number[][];    // 3 (요금구간) × 3 (회선수)</t>
        </is>
      </c>
    </row>
    <row r="48">
      <c r="A48" s="68" t="inlineStr">
        <is>
          <t>}</t>
        </is>
      </c>
    </row>
    <row r="49">
      <c r="A49" s="68" t="inlineStr"/>
    </row>
    <row r="50">
      <c r="A50" s="68" t="inlineStr">
        <is>
          <t>interface LguTogether {</t>
        </is>
      </c>
    </row>
    <row r="51">
      <c r="A51" s="68" t="inlineStr">
        <is>
          <t xml:space="preserve">  internet: SpeedMap;  // 100M=0 (불가)</t>
        </is>
      </c>
    </row>
    <row r="52">
      <c r="A52" s="68" t="inlineStr">
        <is>
          <t xml:space="preserve">  mobile: [number, number, number];  // 2/3/4+회선</t>
        </is>
      </c>
    </row>
    <row r="53">
      <c r="A53" s="68" t="inlineStr">
        <is>
          <t>}</t>
        </is>
      </c>
    </row>
    <row r="54">
      <c r="A54" s="68" t="inlineStr"/>
    </row>
    <row r="55">
      <c r="A55" s="68" t="inlineStr">
        <is>
          <t>type Speed = "100M" | "500M" | "1G";</t>
        </is>
      </c>
    </row>
    <row r="56">
      <c r="A56" s="68" t="inlineStr">
        <is>
          <t>type SpeedMap = Record&lt;Speed, number&gt;;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2026-04-21T02:57:41Z</dcterms:created>
  <dcterms:modified xsi:type="dcterms:W3CDTF">2026-04-21T02:57:41Z</dcterms:modified>
</cp:coreProperties>
</file>