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2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e40981"/>
      <sz val="14"/>
    </font>
    <font>
      <name val="SF Mono"/>
      <color rgb="001a2744"/>
      <sz val="10"/>
    </font>
    <font>
      <name val="Noto Sans KR"/>
      <b val="1"/>
      <color rgb="00dc2626"/>
      <sz val="12"/>
    </font>
  </fonts>
  <fills count="11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1" fillId="0" borderId="0" pivotButton="0" quotePrefix="0" xfId="0"/>
    <xf numFmtId="164" fontId="12" fillId="0" borderId="1" applyAlignment="1" pivotButton="0" quotePrefix="0" xfId="0">
      <alignment horizontal="right"/>
    </xf>
    <xf numFmtId="0" fontId="11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4" fontId="15" fillId="5" borderId="1" applyAlignment="1" pivotButton="0" quotePrefix="0" xfId="0">
      <alignment horizontal="right"/>
    </xf>
    <xf numFmtId="0" fontId="16" fillId="0" borderId="0" pivotButton="0" quotePrefix="0" xfId="0"/>
    <xf numFmtId="164" fontId="12" fillId="5" borderId="1" applyAlignment="1" pivotButton="0" quotePrefix="0" xfId="0">
      <alignment horizontal="right"/>
    </xf>
    <xf numFmtId="164" fontId="18" fillId="6" borderId="1" applyAlignment="1" pivotButton="0" quotePrefix="0" xfId="0">
      <alignment horizontal="right"/>
    </xf>
    <xf numFmtId="0" fontId="7" fillId="7" borderId="0" applyAlignment="1" pivotButton="0" quotePrefix="0" xfId="0">
      <alignment horizontal="center" vertical="center"/>
    </xf>
    <xf numFmtId="164" fontId="15" fillId="8" borderId="1" applyAlignment="1" pivotButton="0" quotePrefix="0" xfId="0">
      <alignment horizontal="right"/>
    </xf>
    <xf numFmtId="0" fontId="19" fillId="0" borderId="0" pivotButton="0" quotePrefix="0" xfId="0"/>
    <xf numFmtId="164" fontId="12" fillId="8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7" fillId="9" borderId="0" applyAlignment="1" pivotButton="0" quotePrefix="0" xfId="0">
      <alignment horizontal="center" vertical="center"/>
    </xf>
    <xf numFmtId="164" fontId="15" fillId="10" borderId="1" applyAlignment="1" pivotButton="0" quotePrefix="0" xfId="0">
      <alignment horizontal="right"/>
    </xf>
    <xf numFmtId="0" fontId="22" fillId="0" borderId="0" pivotButton="0" quotePrefix="0" xfId="0"/>
    <xf numFmtId="164" fontId="12" fillId="10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25" fillId="4" borderId="0" pivotButton="0" quotePrefix="0" xfId="0"/>
    <xf numFmtId="0" fontId="26" fillId="0" borderId="0" pivotButton="0" quotePrefix="0" xfId="0"/>
    <xf numFmtId="0" fontId="5" fillId="5" borderId="1" applyAlignment="1" pivotButton="0" quotePrefix="0" xfId="0">
      <alignment vertical="center"/>
    </xf>
    <xf numFmtId="0" fontId="27" fillId="0" borderId="0" pivotButton="0" quotePrefix="0" xfId="0"/>
    <xf numFmtId="0" fontId="5" fillId="8" borderId="1" applyAlignment="1" pivotButton="0" quotePrefix="0" xfId="0">
      <alignment vertical="center"/>
    </xf>
    <xf numFmtId="0" fontId="28" fillId="0" borderId="0" pivotButton="0" quotePrefix="0" xfId="0"/>
    <xf numFmtId="0" fontId="5" fillId="4" borderId="1" applyAlignment="1" pivotButton="0" quotePrefix="0" xfId="0">
      <alignment vertical="center"/>
    </xf>
    <xf numFmtId="0" fontId="29" fillId="0" borderId="0" pivotButton="0" quotePrefix="0" xfId="0"/>
    <xf numFmtId="0" fontId="5" fillId="10" borderId="1" applyAlignment="1" pivotButton="0" quotePrefix="0" xfId="0">
      <alignment vertical="center"/>
    </xf>
    <xf numFmtId="0" fontId="30" fillId="0" borderId="0" pivotButton="0" quotePrefix="0" xfId="0"/>
    <xf numFmtId="0" fontId="31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</sheetData>
  <mergeCells count="7">
    <mergeCell ref="A28:C28"/>
    <mergeCell ref="A1:C1"/>
    <mergeCell ref="A32:C32"/>
    <mergeCell ref="A31:C31"/>
    <mergeCell ref="A30:C30"/>
    <mergeCell ref="A29:C29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8" t="inlineStr">
        <is>
          <t>🧮 SKT 요즘가족결합 계산기</t>
        </is>
      </c>
    </row>
    <row r="3">
      <c r="A3" s="9" t="inlineStr">
        <is>
          <t>📝 입력 (노란 셀 클릭 → 드롭다운)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B tv 올</t>
        </is>
      </c>
      <c r="C5" s="12" t="inlineStr">
        <is>
          <t>SKT B tv 9종</t>
        </is>
      </c>
    </row>
    <row r="6">
      <c r="A6" s="10" t="inlineStr">
        <is>
          <t>WiFi 사용</t>
        </is>
      </c>
      <c r="B6" s="11" t="inlineStr">
        <is>
          <t>N</t>
        </is>
      </c>
      <c r="C6" s="12" t="inlineStr">
        <is>
          <t>Y=+1,100원 / N=미사용</t>
        </is>
      </c>
    </row>
    <row r="7">
      <c r="A7" s="10" t="inlineStr">
        <is>
          <t>휴대폰 회선수</t>
        </is>
      </c>
      <c r="B7" s="11" t="n">
        <v>3</v>
      </c>
      <c r="C7" s="12" t="inlineStr">
        <is>
          <t>0=결합없음 / 1~5</t>
        </is>
      </c>
    </row>
    <row r="9">
      <c r="A9" s="9" t="inlineStr">
        <is>
          <t>🧮 자동 계산</t>
        </is>
      </c>
    </row>
    <row r="10">
      <c r="A10" s="7" t="inlineStr">
        <is>
          <t>TV 인덱스</t>
        </is>
      </c>
      <c r="B10" s="13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4" t="inlineStr">
        <is>
          <t>드롭다운 이름 → 숫자 인덱스</t>
        </is>
      </c>
    </row>
    <row r="11">
      <c r="A11" s="7" t="inlineStr">
        <is>
          <t>TV 선택 여부</t>
        </is>
      </c>
      <c r="B11" s="13">
        <f>IF(B5="TV 없음",0,1)</f>
        <v/>
      </c>
      <c r="C11" s="14" t="inlineStr">
        <is>
          <t>1=TV 결합 / 0=인터넷 단독</t>
        </is>
      </c>
    </row>
    <row r="13">
      <c r="A13" s="15" t="inlineStr">
        <is>
          <t>📊 데이터 조회</t>
        </is>
      </c>
    </row>
    <row r="14">
      <c r="A14" s="7" t="inlineStr">
        <is>
          <t>인터넷 단독가</t>
        </is>
      </c>
      <c r="B14" s="13">
        <f>IF(B4="100M",22000,IF(B4="500M",33000,38500))</f>
        <v/>
      </c>
      <c r="C14" s="14" t="inlineStr">
        <is>
          <t>→ 01_Internet · SKT 단독가</t>
        </is>
      </c>
    </row>
    <row r="15">
      <c r="A15" s="7" t="inlineStr">
        <is>
          <t>TV 상품 가격 (p)</t>
        </is>
      </c>
      <c r="B15" s="13">
        <f>IF(B11=0,0,CHOOSE(B10-1,12100,15400,18700,23100,24200,27700,30200,30700,33200))</f>
        <v/>
      </c>
      <c r="C15" s="14" t="inlineStr">
        <is>
          <t>→ 02_TV · SKT TV 9종</t>
        </is>
      </c>
    </row>
    <row r="16">
      <c r="A16" s="7" t="inlineStr">
        <is>
          <t>TV 결합할인 (dc)</t>
        </is>
      </c>
      <c r="B16" s="13">
        <f>IF(B11=0,0,2200)</f>
        <v/>
      </c>
      <c r="C16" s="14" t="inlineStr">
        <is>
          <t>→ 02_TV · SKT 전 상품 -2,200 균일</t>
        </is>
      </c>
    </row>
    <row r="17">
      <c r="A17" s="7" t="inlineStr">
        <is>
          <t>WiFi 추가금</t>
        </is>
      </c>
      <c r="B17" s="13">
        <f>IF(B6="Y",1100,0)</f>
        <v/>
      </c>
      <c r="C17" s="14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3">
        <f>IF(B4="100M",19800,IF(B4="500M",27500,33000))</f>
        <v/>
      </c>
      <c r="C18" s="14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3">
        <f>IF(B4="100M",22000,IF(B4="500M",28600,34100))</f>
        <v/>
      </c>
      <c r="C19" s="14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3">
        <f>4400</f>
        <v/>
      </c>
      <c r="C20" s="14" t="inlineStr">
        <is>
          <t>→ 04_SetTop · 기본 모델 (매장 판매 1위)</t>
        </is>
      </c>
    </row>
    <row r="22">
      <c r="A22" s="15" t="inlineStr">
        <is>
          <t>【경로 A】 결합없음 (휴대폰 결합 X)</t>
        </is>
      </c>
    </row>
    <row r="23">
      <c r="A23" s="16" t="inlineStr">
        <is>
          <t xml:space="preserve">  월 기본요금 (요즘우리집)</t>
        </is>
      </c>
      <c r="B23" s="17">
        <f>IF(B11=0,B14+B17,IF(B6="Y",B19,B18)+B15-B16+B20)</f>
        <v/>
      </c>
      <c r="C23" s="14" t="inlineStr">
        <is>
          <t>TV 있으면: tvInternet + (p-dc) + 셋톱 / 없으면: 단독+WiFi</t>
        </is>
      </c>
    </row>
    <row r="25">
      <c r="A25" s="18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3">
        <f>IF(B7=0,0,IF(B4="100M",4400,IF(B4="500M",11000,13200)))</f>
        <v/>
      </c>
      <c r="C26" s="14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3">
        <f>IF(AND(B7&gt;0,B11=1),1100,0)</f>
        <v/>
      </c>
      <c r="C27" s="14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3">
        <f>IF(B7=0,0,IF(B4="100M",CHOOSE(B7,3500,3500,6000,4500,3600),CHOOSE(B7,3500,3500,6000,6000,4800)))</f>
        <v/>
      </c>
      <c r="C28" s="14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3">
        <f>B28*B7</f>
        <v/>
      </c>
      <c r="C29" s="14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19">
        <f>B14+B17-B26</f>
        <v/>
      </c>
    </row>
    <row r="32">
      <c r="A32" s="7" t="inlineStr">
        <is>
          <t xml:space="preserve">  → TV (p - dc - iptv)</t>
        </is>
      </c>
      <c r="B32" s="19">
        <f>IF(B11=0,0,B15-B16-B27)</f>
        <v/>
      </c>
    </row>
    <row r="33">
      <c r="A33" s="7" t="inlineStr">
        <is>
          <t xml:space="preserve">  → 셋톱 (TV 있을 때만)</t>
        </is>
      </c>
      <c r="B33" s="19">
        <f>IF(B11=0,0,B20)</f>
        <v/>
      </c>
    </row>
    <row r="34">
      <c r="A34" s="16" t="inlineStr">
        <is>
          <t xml:space="preserve">  = 인터넷+TV 월 실납부 (결합 적용)</t>
        </is>
      </c>
      <c r="B34" s="17">
        <f>(B14+B17-B26)+IF(B11=0,0,B15-B16-B27+B20)</f>
        <v/>
      </c>
    </row>
    <row r="35">
      <c r="A35" s="7" t="inlineStr">
        <is>
          <t xml:space="preserve">  - 휴대폰 고지서 별도 차감</t>
        </is>
      </c>
      <c r="B35" s="19">
        <f>-B29</f>
        <v/>
      </c>
    </row>
    <row r="36">
      <c r="A36" s="16" t="inlineStr">
        <is>
          <t>🎉 혜택가 (최종 월요금)</t>
        </is>
      </c>
      <c r="B36" s="20">
        <f>IF(B7=0,B23,B34-B29)</f>
        <v/>
      </c>
    </row>
    <row r="38">
      <c r="A38" s="15" t="inlineStr">
        <is>
          <t>🎁 부가 혜택</t>
        </is>
      </c>
    </row>
    <row r="39">
      <c r="A39" s="7" t="inlineStr">
        <is>
          <t xml:space="preserve">  설치비 (1회성)</t>
        </is>
      </c>
      <c r="B39" s="13">
        <f>IF(B11=0,36300,56100)</f>
        <v/>
      </c>
      <c r="C39" s="14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3">
        <f>IF(B11=0,IF(B4="100M",110000,170000),CHOOSE(MATCH(B4,{"100M","500M","1G"},0),400000,430000,490000))</f>
        <v/>
      </c>
      <c r="C40" s="14" t="inlineStr">
        <is>
          <t>→ 07_Gift</t>
        </is>
      </c>
    </row>
  </sheetData>
  <mergeCells count="25">
    <mergeCell ref="C16:E16"/>
    <mergeCell ref="C40:E40"/>
    <mergeCell ref="A1:E1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1" t="inlineStr">
        <is>
          <t>🧮 KT 총액/정액 결합 계산기</t>
        </is>
      </c>
    </row>
    <row r="3">
      <c r="A3" s="9" t="inlineStr">
        <is>
          <t>📝 입력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지니TV 에센스</t>
        </is>
      </c>
      <c r="C5" s="12" t="inlineStr">
        <is>
          <t>KT 지니TV 5종</t>
        </is>
      </c>
    </row>
    <row r="6">
      <c r="A6" s="10" t="inlineStr">
        <is>
          <t>WiFi 사용</t>
        </is>
      </c>
      <c r="B6" s="11" t="inlineStr">
        <is>
          <t>Y</t>
        </is>
      </c>
      <c r="C6" s="12" t="inlineStr">
        <is>
          <t>Y=1,100원 (1G는 무료) / N</t>
        </is>
      </c>
    </row>
    <row r="7">
      <c r="A7" s="10" t="inlineStr">
        <is>
          <t>결합 종류</t>
        </is>
      </c>
      <c r="B7" s="11" t="inlineStr">
        <is>
          <t>총액결합</t>
        </is>
      </c>
      <c r="C7" s="12" t="inlineStr">
        <is>
          <t>결합없음/총액/정액</t>
        </is>
      </c>
    </row>
    <row r="8">
      <c r="A8" s="10" t="inlineStr">
        <is>
          <t>총액결합 구간 (1~6)</t>
        </is>
      </c>
      <c r="B8" s="11" t="n">
        <v>4</v>
      </c>
      <c r="C8" s="12" t="inlineStr">
        <is>
          <t>1=22K↓, 2=22K↑, 3=64.9K↑, 4=108.9K↑, 5=141.9K↑, 6=174.9K↑</t>
        </is>
      </c>
    </row>
    <row r="9">
      <c r="A9" s="10" t="inlineStr">
        <is>
          <t>정액결합 구간 (1~4)</t>
        </is>
      </c>
      <c r="B9" s="11" t="n">
        <v>2</v>
      </c>
      <c r="C9" s="12" t="inlineStr">
        <is>
          <t>1=37K↓, 2=37K↑, 3=61K↑, 4=77K↑</t>
        </is>
      </c>
    </row>
    <row r="11">
      <c r="A11" s="9" t="inlineStr">
        <is>
          <t>🧮 자동 계산</t>
        </is>
      </c>
    </row>
    <row r="12">
      <c r="A12" s="7" t="inlineStr">
        <is>
          <t>TV 인덱스</t>
        </is>
      </c>
      <c r="B12" s="13">
        <f>MATCH(B5,{"TV 없음","지니TV 베이직","지니TV 라이트","지니TV 에센스","지니TV 모든G","지니TV 디즈니+모든G"},0)</f>
        <v/>
      </c>
    </row>
    <row r="13">
      <c r="A13" s="7" t="inlineStr">
        <is>
          <t>TV 선택 여부</t>
        </is>
      </c>
      <c r="B13" s="13">
        <f>IF(B5="TV 없음",0,1)</f>
        <v/>
      </c>
    </row>
    <row r="15">
      <c r="A15" s="15" t="inlineStr">
        <is>
          <t>📊 데이터 조회</t>
        </is>
      </c>
    </row>
    <row r="16">
      <c r="A16" s="7" t="inlineStr">
        <is>
          <t>인터넷 단독가</t>
        </is>
      </c>
      <c r="B16" s="13">
        <f>IF(B4="100M",22000,IF(B4="500M",33000,38500))</f>
        <v/>
      </c>
      <c r="C16" s="14" t="inlineStr">
        <is>
          <t>→ 01_Internet</t>
        </is>
      </c>
    </row>
    <row r="17">
      <c r="A17" s="7" t="inlineStr">
        <is>
          <t>TV 가격 (p)</t>
        </is>
      </c>
      <c r="B17" s="13">
        <f>IF(B13=0,0,CHOOSE(B12-1,14740,15840,20240,21340,28100))</f>
        <v/>
      </c>
      <c r="C17" s="14" t="inlineStr">
        <is>
          <t>→ 02_TV · KT 지니TV</t>
        </is>
      </c>
    </row>
    <row r="18">
      <c r="A18" s="7" t="inlineStr">
        <is>
          <t>TV 결합할인 (dc)</t>
        </is>
      </c>
      <c r="B18" s="13">
        <f>IF(B13=0,0,CHOOSE(B12-1,2640,2640,3740,4400,6600))</f>
        <v/>
      </c>
      <c r="C18" s="14" t="inlineStr">
        <is>
          <t>→ 02_TV · KT 상품별 차등</t>
        </is>
      </c>
    </row>
    <row r="19">
      <c r="A19" s="7" t="inlineStr">
        <is>
          <t>WiFi 추가금 (속도별)</t>
        </is>
      </c>
      <c r="B19" s="13">
        <f>IF(B6="Y",IF(B4="1G",0,1100),0)</f>
        <v/>
      </c>
      <c r="C19" s="14" t="inlineStr">
        <is>
          <t>→ 05_WiFi · KT WAVE2 (기본) · 1G는 무료</t>
        </is>
      </c>
    </row>
    <row r="20">
      <c r="A20" s="7" t="inlineStr">
        <is>
          <t>tvInternetNoWifi</t>
        </is>
      </c>
      <c r="B20" s="13">
        <f>IF(B4="100M",22000,IF(B4="500M",27500,33000))</f>
        <v/>
      </c>
      <c r="C20" s="14" t="inlineStr">
        <is>
          <t>→ 03_TV_Internet</t>
        </is>
      </c>
    </row>
    <row r="21">
      <c r="A21" s="7" t="inlineStr">
        <is>
          <t>tvInternetWithWifi</t>
        </is>
      </c>
      <c r="B21" s="13">
        <f>IF(B4="100M",23100,IF(B4="500M",28600,33000))</f>
        <v/>
      </c>
      <c r="C21" s="14" t="inlineStr">
        <is>
          <t>→ 03_TV_Internet · 1G는 동일</t>
        </is>
      </c>
    </row>
    <row r="22">
      <c r="A22" s="7" t="inlineStr">
        <is>
          <t>셋톱박스 (기가지니3)</t>
        </is>
      </c>
      <c r="B22" s="13">
        <f>4400</f>
        <v/>
      </c>
      <c r="C22" s="14" t="inlineStr">
        <is>
          <t>→ 04_SetTop · 기본 모델 · 고객 선호 1위</t>
        </is>
      </c>
    </row>
    <row r="24">
      <c r="A24" s="15" t="inlineStr">
        <is>
          <t>【경로 A】 결합없음 (기본 TV 결합)</t>
        </is>
      </c>
    </row>
    <row r="25">
      <c r="A25" s="16" t="inlineStr">
        <is>
          <t xml:space="preserve">  월 기본요금</t>
        </is>
      </c>
      <c r="B25" s="22">
        <f>IF(B13=0,B16+B19,IF(B6="Y",B21,B20)+B17-B18+B22)</f>
        <v/>
      </c>
    </row>
    <row r="27">
      <c r="A27" s="23" t="inlineStr">
        <is>
          <t>【경로 B】 결합 적용 (STACK — 기본 TV결합 + 추가할인)</t>
        </is>
      </c>
    </row>
    <row r="28">
      <c r="A28" s="7" t="inlineStr">
        <is>
          <t xml:space="preserve">  [총액] 인터넷 추가 할인</t>
        </is>
      </c>
      <c r="B28" s="13">
        <f>IF(B7="총액결합",IF(B4="100M",CHOOSE(B8,1650,3300,5500,5500,5500,5500),CHOOSE(B8,2200,5500,5500,5500,5500,5500)),0)</f>
        <v/>
      </c>
      <c r="C28" s="14" t="inlineStr">
        <is>
          <t>→ 11_KT_Total · STACK 중복 적용</t>
        </is>
      </c>
    </row>
    <row r="29">
      <c r="A29" s="7" t="inlineStr">
        <is>
          <t xml:space="preserve">  [총액] 휴대폰 할인</t>
        </is>
      </c>
      <c r="B29" s="13">
        <f>IF(B7="총액결합",IF(B4="100M",CHOOSE(B8,0,0,3300,14300,18700,23100),CHOOSE(B8,0,0,5500,16610,22110,27610)),0)</f>
        <v/>
      </c>
      <c r="C29" s="14" t="inlineStr">
        <is>
          <t>→ 11_KT_Total · 휴대폰 고지서 별도</t>
        </is>
      </c>
    </row>
    <row r="30">
      <c r="A30" s="7" t="inlineStr">
        <is>
          <t xml:space="preserve">  [정액] 인터넷 할인</t>
        </is>
      </c>
      <c r="B30" s="13">
        <f>IF(B7="정액결합",5500,0)</f>
        <v/>
      </c>
      <c r="C30" s="14" t="inlineStr">
        <is>
          <t>→ 12_KT_Fixed · 전구간 5,500 고정</t>
        </is>
      </c>
    </row>
    <row r="31">
      <c r="A31" s="7" t="inlineStr">
        <is>
          <t xml:space="preserve">  [정액] 휴대폰 할인</t>
        </is>
      </c>
      <c r="B31" s="13">
        <f>IF(B7="정액결합",CHOOSE(B9,0,3000,5000,7000),0)</f>
        <v/>
      </c>
      <c r="C31" s="14" t="inlineStr">
        <is>
          <t>→ 12_KT_Fixed · 4구간</t>
        </is>
      </c>
    </row>
    <row r="33">
      <c r="A33" s="16" t="inlineStr">
        <is>
          <t xml:space="preserve">  = 인터넷+TV 월 실납부</t>
        </is>
      </c>
      <c r="B33" s="22">
        <f>B25-B28-B30</f>
        <v/>
      </c>
    </row>
    <row r="34">
      <c r="A34" s="7" t="inlineStr">
        <is>
          <t xml:space="preserve">  - 휴대폰 고지서 별도 차감</t>
        </is>
      </c>
      <c r="B34" s="24">
        <f>-(B29+B31)</f>
        <v/>
      </c>
    </row>
    <row r="35">
      <c r="A35" s="16" t="inlineStr">
        <is>
          <t>🎉 혜택가 (최종 월요금)</t>
        </is>
      </c>
      <c r="B35" s="25">
        <f>IF(B7="결합없음",B25,B33-(B29+B31))</f>
        <v/>
      </c>
    </row>
    <row r="37">
      <c r="A37" s="15" t="inlineStr">
        <is>
          <t>🎁 부가</t>
        </is>
      </c>
    </row>
    <row r="38">
      <c r="A38" s="7" t="inlineStr">
        <is>
          <t xml:space="preserve">  설치비</t>
        </is>
      </c>
      <c r="B38" s="13">
        <f>IF(B13=0,36000,56200)</f>
        <v/>
      </c>
      <c r="C38" s="14" t="inlineStr">
        <is>
          <t>→ 06_Install</t>
        </is>
      </c>
    </row>
    <row r="39">
      <c r="A39" s="7" t="inlineStr">
        <is>
          <t xml:space="preserve">  사은품</t>
        </is>
      </c>
      <c r="B39" s="13">
        <f>IF(B13=0,IF(B4="100M",90000,140000),CHOOSE(MATCH(B4,{"100M","500M","1G"},0),370000,450000,450000))</f>
        <v/>
      </c>
      <c r="C39" s="14" t="inlineStr">
        <is>
          <t>→ 07_Gift</t>
        </is>
      </c>
    </row>
  </sheetData>
  <mergeCells count="24">
    <mergeCell ref="C16:E16"/>
    <mergeCell ref="A24:E24"/>
    <mergeCell ref="C31:E31"/>
    <mergeCell ref="C22:E22"/>
    <mergeCell ref="C9:E9"/>
    <mergeCell ref="A11:E11"/>
    <mergeCell ref="A1:E1"/>
    <mergeCell ref="C21:E21"/>
    <mergeCell ref="C39:E39"/>
    <mergeCell ref="C8:E8"/>
    <mergeCell ref="C17:E17"/>
    <mergeCell ref="C7:E7"/>
    <mergeCell ref="A27:E27"/>
    <mergeCell ref="A3:E3"/>
    <mergeCell ref="C38:E38"/>
    <mergeCell ref="C28:E28"/>
    <mergeCell ref="C19:E19"/>
    <mergeCell ref="C18:E18"/>
    <mergeCell ref="C30:E30"/>
    <mergeCell ref="C6:E6"/>
    <mergeCell ref="C5:E5"/>
    <mergeCell ref="C4:E4"/>
    <mergeCell ref="C29:E29"/>
    <mergeCell ref="C20:E20"/>
  </mergeCells>
  <dataValidations count="6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6" t="inlineStr">
        <is>
          <t>🧮 LG U+ 참쉬운/투게더 결합 계산기</t>
        </is>
      </c>
    </row>
    <row r="3">
      <c r="A3" s="9" t="inlineStr">
        <is>
          <t>📝 입력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U+tv 기본형</t>
        </is>
      </c>
      <c r="C5" s="12" t="inlineStr">
        <is>
          <t>LG U+tv 4종</t>
        </is>
      </c>
    </row>
    <row r="6">
      <c r="A6" s="10" t="inlineStr">
        <is>
          <t>결합 종류</t>
        </is>
      </c>
      <c r="B6" s="11" t="inlineStr">
        <is>
          <t>참쉬운 가족결합</t>
        </is>
      </c>
      <c r="C6" s="12" t="inlineStr">
        <is>
          <t>결합없음/참쉬운/투게더</t>
        </is>
      </c>
    </row>
    <row r="7">
      <c r="A7" s="10" t="inlineStr">
        <is>
          <t>요금구간 (참쉬운, 1~3)</t>
        </is>
      </c>
      <c r="B7" s="11" t="n">
        <v>2</v>
      </c>
      <c r="C7" s="12" t="inlineStr">
        <is>
          <t>1=69K미만, 2=69K+, 3=88K+</t>
        </is>
      </c>
    </row>
    <row r="8">
      <c r="A8" s="10" t="inlineStr">
        <is>
          <t>결합 회선수</t>
        </is>
      </c>
      <c r="B8" s="11" t="n">
        <v>2</v>
      </c>
      <c r="C8" s="12" t="inlineStr">
        <is>
          <t>참쉬운 2~4+ / 투게더 2~5</t>
        </is>
      </c>
    </row>
    <row r="10">
      <c r="A10" s="9" t="inlineStr">
        <is>
          <t>🧮 자동 계산</t>
        </is>
      </c>
    </row>
    <row r="11">
      <c r="A11" s="7" t="inlineStr">
        <is>
          <t>TV 인덱스</t>
        </is>
      </c>
      <c r="B11" s="13">
        <f>MATCH(B5,{"TV 없음","U+tv 실속형","U+tv 기본형","U+tv 프리미엄","U+tv 프리미엄 VOD"},0)</f>
        <v/>
      </c>
    </row>
    <row r="12">
      <c r="A12" s="7" t="inlineStr">
        <is>
          <t>TV 선택 여부</t>
        </is>
      </c>
      <c r="B12" s="13">
        <f>IF(B5="TV 없음",0,1)</f>
        <v/>
      </c>
    </row>
    <row r="14">
      <c r="A14" s="15" t="inlineStr">
        <is>
          <t>📊 데이터 조회</t>
        </is>
      </c>
    </row>
    <row r="15">
      <c r="A15" s="7" t="inlineStr">
        <is>
          <t>인터넷 단독가</t>
        </is>
      </c>
      <c r="B15" s="13">
        <f>IF(B4="100M",22000,IF(B4="500M",33000,38500))</f>
        <v/>
      </c>
      <c r="C15" s="14" t="inlineStr">
        <is>
          <t>→ 01_Internet</t>
        </is>
      </c>
    </row>
    <row r="16">
      <c r="A16" s="7" t="inlineStr">
        <is>
          <t>TV 가격 (p)</t>
        </is>
      </c>
      <c r="B16" s="13">
        <f>IF(B12=0,0,CHOOSE(B11-1,15400,16500,18700,24200))</f>
        <v/>
      </c>
      <c r="C16" s="14" t="inlineStr">
        <is>
          <t>→ 02_TV · LG U+tv</t>
        </is>
      </c>
    </row>
    <row r="17">
      <c r="A17" s="7" t="inlineStr">
        <is>
          <t>TV 결합할인 (dc)</t>
        </is>
      </c>
      <c r="B17" s="13">
        <f>IF(B12=0,0,CHOOSE(B11-1,2200,2200,2200,5500))</f>
        <v/>
      </c>
      <c r="C17" s="14" t="inlineStr">
        <is>
          <t>→ 02_TV · 전 상품 -2,200 (VOD만 -5,500)</t>
        </is>
      </c>
    </row>
    <row r="18">
      <c r="A18" s="7" t="inlineStr">
        <is>
          <t>WiFi 추가금</t>
        </is>
      </c>
      <c r="B18" s="13">
        <f>0</f>
        <v/>
      </c>
      <c r="C18" s="14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3">
        <f>4400</f>
        <v/>
      </c>
      <c r="C19" s="14" t="inlineStr">
        <is>
          <t>→ 04_SetTop · 기본 모델 · AI음향 기술</t>
        </is>
      </c>
    </row>
    <row r="21">
      <c r="A21" s="15" t="inlineStr">
        <is>
          <t>【경로 A】 결합없음</t>
        </is>
      </c>
    </row>
    <row r="22">
      <c r="A22" s="16" t="inlineStr">
        <is>
          <t xml:space="preserve">  월 기본요금</t>
        </is>
      </c>
      <c r="B22" s="27">
        <f>IF(B12=0,B15,IF(B4="100M",22000,IF(B4="500M",27500,33000))+B16-B17+B19)</f>
        <v/>
      </c>
      <c r="C22" s="14" t="inlineStr">
        <is>
          <t>TV 없으면 단독가 / TV 있으면 tvInternet(LGU+ WiFi 유무 동일) + TV + 셋톱</t>
        </is>
      </c>
    </row>
    <row r="24">
      <c r="A24" s="28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3">
        <f>IF(B6="참쉬운 가족결합",IF(B4="100M",5500,IF(B4="500M",9900,13200)),0)</f>
        <v/>
      </c>
      <c r="C25" s="14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3">
        <f>IF(B6="참쉬운 가족결합",CHOOSE(B7,CHOOSE(MIN(B8,4)-1,2200,3300,4400),CHOOSE(MIN(B8,4)-1,3300,5500,6600),CHOOSE(MIN(B8,4)-1,4400,6600,8800)),0)</f>
        <v/>
      </c>
      <c r="C26" s="14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3">
        <f>B26*IF(B6="참쉬운 가족결합",MIN(B8,4),0)</f>
        <v/>
      </c>
      <c r="C27" s="14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3">
        <f>IF(B6="투게더 결합",IF(B4="100M",0,11000),0)</f>
        <v/>
      </c>
      <c r="C28" s="14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3">
        <f>IF(B6="투게더 결합",CHOOSE(MIN(B8,4)-1,10000,14000,20000),0)</f>
        <v/>
      </c>
      <c r="C29" s="14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3">
        <f>B29*IF(B6="투게더 결합",MIN(B8,5),0)</f>
        <v/>
      </c>
      <c r="C30" s="14" t="inlineStr">
        <is>
          <t>인당 × 회선수</t>
        </is>
      </c>
    </row>
    <row r="32">
      <c r="A32" s="16" t="inlineStr">
        <is>
          <t xml:space="preserve">  = 인터넷+TV 월 실납부 (결합 적용)</t>
        </is>
      </c>
      <c r="B32" s="27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29">
        <f>-(B27+B30)</f>
        <v/>
      </c>
    </row>
    <row r="34">
      <c r="A34" s="16" t="inlineStr">
        <is>
          <t>🎉 혜택가 (최종 월요금)</t>
        </is>
      </c>
      <c r="B34" s="30">
        <f>IF(B6="결합없음",B22,B32-(B27+B30))</f>
        <v/>
      </c>
    </row>
    <row r="36">
      <c r="A36" s="15" t="inlineStr">
        <is>
          <t>🎁 부가</t>
        </is>
      </c>
    </row>
    <row r="37">
      <c r="A37" s="7" t="inlineStr">
        <is>
          <t xml:space="preserve">  설치비</t>
        </is>
      </c>
      <c r="B37" s="13">
        <f>IF(B12=0,36300,56100)</f>
        <v/>
      </c>
      <c r="C37" s="14" t="inlineStr">
        <is>
          <t>→ 06_Install</t>
        </is>
      </c>
    </row>
    <row r="38">
      <c r="A38" s="7" t="inlineStr">
        <is>
          <t xml:space="preserve">  사은품</t>
        </is>
      </c>
      <c r="B38" s="13">
        <f>IF(B12=0,IF(B4="100M",200000,230000),CHOOSE(MATCH(B4,{"100M","500M","1G"},0),400000,470000,470000))</f>
        <v/>
      </c>
      <c r="C38" s="14" t="inlineStr">
        <is>
          <t>→ 07_Gift</t>
        </is>
      </c>
    </row>
  </sheetData>
  <mergeCells count="24">
    <mergeCell ref="C16:E16"/>
    <mergeCell ref="A24:E24"/>
    <mergeCell ref="C22:E22"/>
    <mergeCell ref="A1:E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1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1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32" t="inlineStr">
        <is>
          <t>🏷️ SKT 요즘가족결합</t>
        </is>
      </c>
    </row>
    <row r="3">
      <c r="A3" s="4" t="inlineStr">
        <is>
          <t>속도</t>
        </is>
      </c>
      <c r="B3" s="4" t="inlineStr">
        <is>
          <t>회선수</t>
        </is>
      </c>
      <c r="C3" s="4" t="inlineStr">
        <is>
          <t>휴대폰</t>
        </is>
      </c>
      <c r="D3" s="4" t="inlineStr">
        <is>
          <t>인터넷</t>
        </is>
      </c>
      <c r="E3" s="4" t="inlineStr">
        <is>
          <t>IPTV 추가</t>
        </is>
      </c>
      <c r="F3" s="4" t="inlineStr">
        <is>
          <t>총할인</t>
        </is>
      </c>
    </row>
    <row r="4">
      <c r="A4" s="33" t="inlineStr">
        <is>
          <t>100M</t>
        </is>
      </c>
      <c r="B4" s="33" t="n">
        <v>1</v>
      </c>
      <c r="C4" s="33" t="n">
        <v>3500</v>
      </c>
      <c r="D4" s="33" t="n">
        <v>4400</v>
      </c>
      <c r="E4" s="33" t="n">
        <v>1100</v>
      </c>
      <c r="F4" s="33" t="n">
        <v>9000</v>
      </c>
    </row>
    <row r="5">
      <c r="A5" s="33" t="inlineStr">
        <is>
          <t>100M</t>
        </is>
      </c>
      <c r="B5" s="33" t="n">
        <v>2</v>
      </c>
      <c r="C5" s="33" t="n">
        <v>7000</v>
      </c>
      <c r="D5" s="33" t="n">
        <v>4400</v>
      </c>
      <c r="E5" s="33" t="n">
        <v>1100</v>
      </c>
      <c r="F5" s="33" t="n">
        <v>12500</v>
      </c>
    </row>
    <row r="6">
      <c r="A6" s="33" t="inlineStr">
        <is>
          <t>100M</t>
        </is>
      </c>
      <c r="B6" s="33" t="n">
        <v>3</v>
      </c>
      <c r="C6" s="33" t="n">
        <v>18000</v>
      </c>
      <c r="D6" s="33" t="n">
        <v>4400</v>
      </c>
      <c r="E6" s="33" t="n">
        <v>1100</v>
      </c>
      <c r="F6" s="33" t="n">
        <v>23500</v>
      </c>
    </row>
    <row r="7">
      <c r="A7" s="33" t="inlineStr">
        <is>
          <t>100M</t>
        </is>
      </c>
      <c r="B7" s="33" t="n">
        <v>4</v>
      </c>
      <c r="C7" s="33" t="n">
        <v>18000</v>
      </c>
      <c r="D7" s="33" t="n">
        <v>4400</v>
      </c>
      <c r="E7" s="33" t="n">
        <v>1100</v>
      </c>
      <c r="F7" s="33" t="n">
        <v>23500</v>
      </c>
    </row>
    <row r="8">
      <c r="A8" s="33" t="inlineStr">
        <is>
          <t>100M</t>
        </is>
      </c>
      <c r="B8" s="33" t="n">
        <v>5</v>
      </c>
      <c r="C8" s="33" t="n">
        <v>18000</v>
      </c>
      <c r="D8" s="33" t="n">
        <v>4400</v>
      </c>
      <c r="E8" s="33" t="n">
        <v>1100</v>
      </c>
      <c r="F8" s="33" t="n">
        <v>23500</v>
      </c>
    </row>
    <row r="9">
      <c r="A9" s="33" t="inlineStr">
        <is>
          <t>500M</t>
        </is>
      </c>
      <c r="B9" s="33" t="n">
        <v>1</v>
      </c>
      <c r="C9" s="33" t="n">
        <v>3500</v>
      </c>
      <c r="D9" s="33" t="n">
        <v>11000</v>
      </c>
      <c r="E9" s="33" t="n">
        <v>1100</v>
      </c>
      <c r="F9" s="33" t="n">
        <v>15600</v>
      </c>
    </row>
    <row r="10">
      <c r="A10" s="33" t="inlineStr">
        <is>
          <t>500M</t>
        </is>
      </c>
      <c r="B10" s="33" t="n">
        <v>2</v>
      </c>
      <c r="C10" s="33" t="n">
        <v>7000</v>
      </c>
      <c r="D10" s="33" t="n">
        <v>11000</v>
      </c>
      <c r="E10" s="33" t="n">
        <v>1100</v>
      </c>
      <c r="F10" s="33" t="n">
        <v>19100</v>
      </c>
    </row>
    <row r="11">
      <c r="A11" s="33" t="inlineStr">
        <is>
          <t>500M</t>
        </is>
      </c>
      <c r="B11" s="33" t="n">
        <v>3</v>
      </c>
      <c r="C11" s="33" t="n">
        <v>18000</v>
      </c>
      <c r="D11" s="33" t="n">
        <v>11000</v>
      </c>
      <c r="E11" s="33" t="n">
        <v>1100</v>
      </c>
      <c r="F11" s="33" t="n">
        <v>30100</v>
      </c>
    </row>
    <row r="12">
      <c r="A12" s="33" t="inlineStr">
        <is>
          <t>500M</t>
        </is>
      </c>
      <c r="B12" s="33" t="n">
        <v>4</v>
      </c>
      <c r="C12" s="33" t="n">
        <v>24000</v>
      </c>
      <c r="D12" s="33" t="n">
        <v>11000</v>
      </c>
      <c r="E12" s="33" t="n">
        <v>1100</v>
      </c>
      <c r="F12" s="33" t="n">
        <v>36100</v>
      </c>
    </row>
    <row r="13">
      <c r="A13" s="33" t="inlineStr">
        <is>
          <t>500M</t>
        </is>
      </c>
      <c r="B13" s="33" t="n">
        <v>5</v>
      </c>
      <c r="C13" s="33" t="n">
        <v>24000</v>
      </c>
      <c r="D13" s="33" t="n">
        <v>11000</v>
      </c>
      <c r="E13" s="33" t="n">
        <v>1100</v>
      </c>
      <c r="F13" s="33" t="n">
        <v>36100</v>
      </c>
    </row>
    <row r="14">
      <c r="A14" s="33" t="inlineStr">
        <is>
          <t>1G</t>
        </is>
      </c>
      <c r="B14" s="33" t="n">
        <v>1</v>
      </c>
      <c r="C14" s="33" t="n">
        <v>3500</v>
      </c>
      <c r="D14" s="33" t="n">
        <v>13200</v>
      </c>
      <c r="E14" s="33" t="n">
        <v>1100</v>
      </c>
      <c r="F14" s="33" t="n">
        <v>17800</v>
      </c>
    </row>
    <row r="15">
      <c r="A15" s="33" t="inlineStr">
        <is>
          <t>1G</t>
        </is>
      </c>
      <c r="B15" s="33" t="n">
        <v>2</v>
      </c>
      <c r="C15" s="33" t="n">
        <v>7000</v>
      </c>
      <c r="D15" s="33" t="n">
        <v>13200</v>
      </c>
      <c r="E15" s="33" t="n">
        <v>1100</v>
      </c>
      <c r="F15" s="33" t="n">
        <v>21300</v>
      </c>
    </row>
    <row r="16">
      <c r="A16" s="33" t="inlineStr">
        <is>
          <t>1G</t>
        </is>
      </c>
      <c r="B16" s="33" t="n">
        <v>3</v>
      </c>
      <c r="C16" s="33" t="n">
        <v>18000</v>
      </c>
      <c r="D16" s="33" t="n">
        <v>13200</v>
      </c>
      <c r="E16" s="33" t="n">
        <v>1100</v>
      </c>
      <c r="F16" s="33" t="n">
        <v>32300</v>
      </c>
    </row>
    <row r="17">
      <c r="A17" s="33" t="inlineStr">
        <is>
          <t>1G</t>
        </is>
      </c>
      <c r="B17" s="33" t="n">
        <v>4</v>
      </c>
      <c r="C17" s="33" t="n">
        <v>24000</v>
      </c>
      <c r="D17" s="33" t="n">
        <v>13200</v>
      </c>
      <c r="E17" s="33" t="n">
        <v>1100</v>
      </c>
      <c r="F17" s="33" t="n">
        <v>38300</v>
      </c>
    </row>
    <row r="18">
      <c r="A18" s="33" t="inlineStr">
        <is>
          <t>1G</t>
        </is>
      </c>
      <c r="B18" s="33" t="n">
        <v>5</v>
      </c>
      <c r="C18" s="33" t="n">
        <v>24000</v>
      </c>
      <c r="D18" s="33" t="n">
        <v>13200</v>
      </c>
      <c r="E18" s="33" t="n">
        <v>1100</v>
      </c>
      <c r="F18" s="33" t="n">
        <v>38300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34" t="inlineStr">
        <is>
          <t>🏷️ KT 총액결합 (STACK)</t>
        </is>
      </c>
    </row>
    <row r="3">
      <c r="A3" s="4" t="inlineStr">
        <is>
          <t>속도</t>
        </is>
      </c>
      <c r="B3" s="4" t="inlineStr">
        <is>
          <t>구간</t>
        </is>
      </c>
      <c r="C3" s="4" t="inlineStr">
        <is>
          <t>인터넷</t>
        </is>
      </c>
      <c r="D3" s="4" t="inlineStr">
        <is>
          <t>휴대폰</t>
        </is>
      </c>
      <c r="E3" s="4" t="inlineStr">
        <is>
          <t>합계</t>
        </is>
      </c>
    </row>
    <row r="4">
      <c r="A4" s="35" t="inlineStr">
        <is>
          <t>100M</t>
        </is>
      </c>
      <c r="B4" s="35" t="inlineStr">
        <is>
          <t>22K 이하</t>
        </is>
      </c>
      <c r="C4" s="35" t="n">
        <v>1650</v>
      </c>
      <c r="D4" s="35" t="n">
        <v>0</v>
      </c>
      <c r="E4" s="35" t="n">
        <v>1650</v>
      </c>
    </row>
    <row r="5">
      <c r="A5" s="35" t="inlineStr">
        <is>
          <t>100M</t>
        </is>
      </c>
      <c r="B5" s="35" t="inlineStr">
        <is>
          <t>22K 이상</t>
        </is>
      </c>
      <c r="C5" s="35" t="n">
        <v>3300</v>
      </c>
      <c r="D5" s="35" t="n">
        <v>0</v>
      </c>
      <c r="E5" s="35" t="n">
        <v>3300</v>
      </c>
    </row>
    <row r="6">
      <c r="A6" s="35" t="inlineStr">
        <is>
          <t>100M</t>
        </is>
      </c>
      <c r="B6" s="35" t="inlineStr">
        <is>
          <t>64.9K 이상</t>
        </is>
      </c>
      <c r="C6" s="35" t="n">
        <v>5500</v>
      </c>
      <c r="D6" s="35" t="n">
        <v>3300</v>
      </c>
      <c r="E6" s="35" t="n">
        <v>8800</v>
      </c>
    </row>
    <row r="7">
      <c r="A7" s="35" t="inlineStr">
        <is>
          <t>100M</t>
        </is>
      </c>
      <c r="B7" s="35" t="inlineStr">
        <is>
          <t>108.9K 이상</t>
        </is>
      </c>
      <c r="C7" s="35" t="n">
        <v>5500</v>
      </c>
      <c r="D7" s="35" t="n">
        <v>14300</v>
      </c>
      <c r="E7" s="35" t="n">
        <v>19800</v>
      </c>
    </row>
    <row r="8">
      <c r="A8" s="35" t="inlineStr">
        <is>
          <t>100M</t>
        </is>
      </c>
      <c r="B8" s="35" t="inlineStr">
        <is>
          <t>141.9K 이상</t>
        </is>
      </c>
      <c r="C8" s="35" t="n">
        <v>5500</v>
      </c>
      <c r="D8" s="35" t="n">
        <v>18700</v>
      </c>
      <c r="E8" s="35" t="n">
        <v>24200</v>
      </c>
    </row>
    <row r="9">
      <c r="A9" s="35" t="inlineStr">
        <is>
          <t>100M</t>
        </is>
      </c>
      <c r="B9" s="35" t="inlineStr">
        <is>
          <t>174.9K 이상</t>
        </is>
      </c>
      <c r="C9" s="35" t="n">
        <v>5500</v>
      </c>
      <c r="D9" s="35" t="n">
        <v>23100</v>
      </c>
      <c r="E9" s="35" t="n">
        <v>28600</v>
      </c>
    </row>
    <row r="10">
      <c r="A10" s="35" t="inlineStr">
        <is>
          <t>500M</t>
        </is>
      </c>
      <c r="B10" s="35" t="inlineStr">
        <is>
          <t>22K 이하</t>
        </is>
      </c>
      <c r="C10" s="35" t="n">
        <v>2200</v>
      </c>
      <c r="D10" s="35" t="n">
        <v>0</v>
      </c>
      <c r="E10" s="35" t="n">
        <v>2200</v>
      </c>
    </row>
    <row r="11">
      <c r="A11" s="35" t="inlineStr">
        <is>
          <t>500M</t>
        </is>
      </c>
      <c r="B11" s="35" t="inlineStr">
        <is>
          <t>22K 이상</t>
        </is>
      </c>
      <c r="C11" s="35" t="n">
        <v>5500</v>
      </c>
      <c r="D11" s="35" t="n">
        <v>0</v>
      </c>
      <c r="E11" s="35" t="n">
        <v>5500</v>
      </c>
    </row>
    <row r="12">
      <c r="A12" s="35" t="inlineStr">
        <is>
          <t>500M</t>
        </is>
      </c>
      <c r="B12" s="35" t="inlineStr">
        <is>
          <t>64.9K 이상</t>
        </is>
      </c>
      <c r="C12" s="35" t="n">
        <v>5500</v>
      </c>
      <c r="D12" s="35" t="n">
        <v>5500</v>
      </c>
      <c r="E12" s="35" t="n">
        <v>11000</v>
      </c>
    </row>
    <row r="13">
      <c r="A13" s="35" t="inlineStr">
        <is>
          <t>500M</t>
        </is>
      </c>
      <c r="B13" s="35" t="inlineStr">
        <is>
          <t>108.9K 이상</t>
        </is>
      </c>
      <c r="C13" s="35" t="n">
        <v>5500</v>
      </c>
      <c r="D13" s="35" t="n">
        <v>16610</v>
      </c>
      <c r="E13" s="35" t="n">
        <v>22110</v>
      </c>
    </row>
    <row r="14">
      <c r="A14" s="35" t="inlineStr">
        <is>
          <t>500M</t>
        </is>
      </c>
      <c r="B14" s="35" t="inlineStr">
        <is>
          <t>141.9K 이상</t>
        </is>
      </c>
      <c r="C14" s="35" t="n">
        <v>5500</v>
      </c>
      <c r="D14" s="35" t="n">
        <v>22110</v>
      </c>
      <c r="E14" s="35" t="n">
        <v>27610</v>
      </c>
    </row>
    <row r="15">
      <c r="A15" s="35" t="inlineStr">
        <is>
          <t>500M</t>
        </is>
      </c>
      <c r="B15" s="35" t="inlineStr">
        <is>
          <t>174.9K 이상</t>
        </is>
      </c>
      <c r="C15" s="35" t="n">
        <v>5500</v>
      </c>
      <c r="D15" s="35" t="n">
        <v>27610</v>
      </c>
      <c r="E15" s="35" t="n">
        <v>33110</v>
      </c>
    </row>
    <row r="16">
      <c r="A16" s="35" t="inlineStr">
        <is>
          <t>1G</t>
        </is>
      </c>
      <c r="B16" s="35" t="inlineStr">
        <is>
          <t>22K 이하</t>
        </is>
      </c>
      <c r="C16" s="35" t="n">
        <v>2200</v>
      </c>
      <c r="D16" s="35" t="n">
        <v>0</v>
      </c>
      <c r="E16" s="35" t="n">
        <v>2200</v>
      </c>
    </row>
    <row r="17">
      <c r="A17" s="35" t="inlineStr">
        <is>
          <t>1G</t>
        </is>
      </c>
      <c r="B17" s="35" t="inlineStr">
        <is>
          <t>22K 이상</t>
        </is>
      </c>
      <c r="C17" s="35" t="n">
        <v>5500</v>
      </c>
      <c r="D17" s="35" t="n">
        <v>0</v>
      </c>
      <c r="E17" s="35" t="n">
        <v>5500</v>
      </c>
    </row>
    <row r="18">
      <c r="A18" s="35" t="inlineStr">
        <is>
          <t>1G</t>
        </is>
      </c>
      <c r="B18" s="35" t="inlineStr">
        <is>
          <t>64.9K 이상</t>
        </is>
      </c>
      <c r="C18" s="35" t="n">
        <v>5500</v>
      </c>
      <c r="D18" s="35" t="n">
        <v>5500</v>
      </c>
      <c r="E18" s="35" t="n">
        <v>11000</v>
      </c>
    </row>
    <row r="19">
      <c r="A19" s="35" t="inlineStr">
        <is>
          <t>1G</t>
        </is>
      </c>
      <c r="B19" s="35" t="inlineStr">
        <is>
          <t>108.9K 이상</t>
        </is>
      </c>
      <c r="C19" s="35" t="n">
        <v>5500</v>
      </c>
      <c r="D19" s="35" t="n">
        <v>16610</v>
      </c>
      <c r="E19" s="35" t="n">
        <v>22110</v>
      </c>
    </row>
    <row r="20">
      <c r="A20" s="35" t="inlineStr">
        <is>
          <t>1G</t>
        </is>
      </c>
      <c r="B20" s="35" t="inlineStr">
        <is>
          <t>141.9K 이상</t>
        </is>
      </c>
      <c r="C20" s="35" t="n">
        <v>5500</v>
      </c>
      <c r="D20" s="35" t="n">
        <v>22110</v>
      </c>
      <c r="E20" s="35" t="n">
        <v>27610</v>
      </c>
    </row>
    <row r="21">
      <c r="A21" s="35" t="inlineStr">
        <is>
          <t>1G</t>
        </is>
      </c>
      <c r="B21" s="35" t="inlineStr">
        <is>
          <t>174.9K 이상</t>
        </is>
      </c>
      <c r="C21" s="35" t="n">
        <v>5500</v>
      </c>
      <c r="D21" s="35" t="n">
        <v>27610</v>
      </c>
      <c r="E21" s="35" t="n">
        <v>33110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4" t="inlineStr">
        <is>
          <t>🏷️ KT 정액결합</t>
        </is>
      </c>
    </row>
    <row r="3">
      <c r="A3" s="4" t="inlineStr">
        <is>
          <t>구간</t>
        </is>
      </c>
      <c r="B3" s="4" t="inlineStr">
        <is>
          <t>인터넷</t>
        </is>
      </c>
      <c r="C3" s="4" t="inlineStr">
        <is>
          <t>휴대폰</t>
        </is>
      </c>
      <c r="D3" s="4" t="inlineStr">
        <is>
          <t>합계</t>
        </is>
      </c>
    </row>
    <row r="4">
      <c r="A4" s="35" t="inlineStr">
        <is>
          <t>37K 이하</t>
        </is>
      </c>
      <c r="B4" s="35" t="n">
        <v>5500</v>
      </c>
      <c r="C4" s="35" t="n">
        <v>0</v>
      </c>
      <c r="D4" s="35" t="n">
        <v>5500</v>
      </c>
    </row>
    <row r="5">
      <c r="A5" s="35" t="inlineStr">
        <is>
          <t>37K 이상</t>
        </is>
      </c>
      <c r="B5" s="35" t="n">
        <v>5500</v>
      </c>
      <c r="C5" s="35" t="n">
        <v>3000</v>
      </c>
      <c r="D5" s="35" t="n">
        <v>8500</v>
      </c>
    </row>
    <row r="6">
      <c r="A6" s="35" t="inlineStr">
        <is>
          <t>61K 이상</t>
        </is>
      </c>
      <c r="B6" s="35" t="n">
        <v>5500</v>
      </c>
      <c r="C6" s="35" t="n">
        <v>5000</v>
      </c>
      <c r="D6" s="35" t="n">
        <v>10500</v>
      </c>
    </row>
    <row r="7">
      <c r="A7" s="35" t="inlineStr">
        <is>
          <t>77K 이상</t>
        </is>
      </c>
      <c r="B7" s="35" t="n">
        <v>5500</v>
      </c>
      <c r="C7" s="35" t="n">
        <v>7000</v>
      </c>
      <c r="D7" s="35" t="n">
        <v>12500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6" t="inlineStr">
        <is>
          <t>💎 KT 프리미엄 가족결합 (원본 planCatalog 14종)</t>
        </is>
      </c>
    </row>
    <row r="3">
      <c r="A3" s="31" t="inlineStr">
        <is>
          <t>자격: 77,000원↑ 요금제 2회선 이상 필수 · 대표자는 총액결합만 · 구성원 77K↑만 프리미엄 선택 가능 · 인터넷 -5,500원 기본</t>
        </is>
      </c>
    </row>
    <row r="5">
      <c r="A5" s="4" t="inlineStr">
        <is>
          <t>월정액 (v)</t>
        </is>
      </c>
      <c r="B5" s="4" t="inlineStr">
        <is>
          <t>요금제명 (label)</t>
        </is>
      </c>
      <c r="C5" s="4" t="inlineStr">
        <is>
          <t>prem 자격</t>
        </is>
      </c>
      <c r="D5" s="4" t="inlineStr">
        <is>
          <t>할인액 (dc)</t>
        </is>
      </c>
      <c r="E5" s="4" t="inlineStr">
        <is>
          <t>비율</t>
        </is>
      </c>
    </row>
    <row r="6">
      <c r="A6" s="37" t="n">
        <v>0</v>
      </c>
      <c r="B6" s="37" t="inlineStr">
        <is>
          <t>— 회선 없음 —</t>
        </is>
      </c>
      <c r="C6" s="37" t="inlineStr">
        <is>
          <t>X</t>
        </is>
      </c>
      <c r="D6" s="37" t="n">
        <v>0</v>
      </c>
      <c r="E6" s="37" t="inlineStr">
        <is>
          <t>-</t>
        </is>
      </c>
    </row>
    <row r="7">
      <c r="A7" s="37" t="n">
        <v>32890</v>
      </c>
      <c r="B7" s="37" t="inlineStr">
        <is>
          <t>32,890원 (LTE 데이터선택)</t>
        </is>
      </c>
      <c r="C7" s="37" t="inlineStr">
        <is>
          <t>X</t>
        </is>
      </c>
      <c r="D7" s="37" t="n">
        <v>0</v>
      </c>
      <c r="E7" s="37" t="inlineStr">
        <is>
          <t>-</t>
        </is>
      </c>
    </row>
    <row r="8">
      <c r="A8" s="37" t="n">
        <v>47000</v>
      </c>
      <c r="B8" s="37" t="inlineStr">
        <is>
          <t>47,000원</t>
        </is>
      </c>
      <c r="C8" s="37" t="inlineStr">
        <is>
          <t>X</t>
        </is>
      </c>
      <c r="D8" s="37" t="n">
        <v>0</v>
      </c>
      <c r="E8" s="37" t="inlineStr">
        <is>
          <t>-</t>
        </is>
      </c>
    </row>
    <row r="9">
      <c r="A9" s="37" t="n">
        <v>55000</v>
      </c>
      <c r="B9" s="37" t="inlineStr">
        <is>
          <t>55,000원</t>
        </is>
      </c>
      <c r="C9" s="37" t="inlineStr">
        <is>
          <t>X</t>
        </is>
      </c>
      <c r="D9" s="37" t="n">
        <v>0</v>
      </c>
      <c r="E9" s="37" t="inlineStr">
        <is>
          <t>-</t>
        </is>
      </c>
    </row>
    <row r="10">
      <c r="A10" s="37" t="n">
        <v>65000</v>
      </c>
      <c r="B10" s="37" t="inlineStr">
        <is>
          <t>65,000원</t>
        </is>
      </c>
      <c r="C10" s="37" t="inlineStr">
        <is>
          <t>X</t>
        </is>
      </c>
      <c r="D10" s="37" t="n">
        <v>0</v>
      </c>
      <c r="E10" s="37" t="inlineStr">
        <is>
          <t>-</t>
        </is>
      </c>
    </row>
    <row r="11">
      <c r="A11" s="37" t="n">
        <v>77000</v>
      </c>
      <c r="B11" s="37" t="inlineStr">
        <is>
          <t>77,000원 (임계값)</t>
        </is>
      </c>
      <c r="C11" s="37" t="inlineStr">
        <is>
          <t>✓</t>
        </is>
      </c>
      <c r="D11" s="37" t="n">
        <v>19250</v>
      </c>
      <c r="E11" s="37" t="inlineStr">
        <is>
          <t>≈25%</t>
        </is>
      </c>
    </row>
    <row r="12">
      <c r="A12" s="37" t="n">
        <v>80000</v>
      </c>
      <c r="B12" s="37" t="inlineStr">
        <is>
          <t>80,000원 (5G 슈퍼플랜 베이직)</t>
        </is>
      </c>
      <c r="C12" s="37" t="inlineStr">
        <is>
          <t>✓</t>
        </is>
      </c>
      <c r="D12" s="37" t="n">
        <v>20000</v>
      </c>
      <c r="E12" s="37" t="inlineStr">
        <is>
          <t>25%</t>
        </is>
      </c>
    </row>
    <row r="13">
      <c r="A13" s="37" t="n">
        <v>87890</v>
      </c>
      <c r="B13" s="37" t="inlineStr">
        <is>
          <t>87,890원 (데이터선택 87.8)</t>
        </is>
      </c>
      <c r="C13" s="37" t="inlineStr">
        <is>
          <t>✓</t>
        </is>
      </c>
      <c r="D13" s="37" t="n">
        <v>22000</v>
      </c>
      <c r="E13" s="37" t="inlineStr">
        <is>
          <t>≈25%</t>
        </is>
      </c>
    </row>
    <row r="14">
      <c r="A14" s="37" t="n">
        <v>89000</v>
      </c>
      <c r="B14" s="37" t="inlineStr">
        <is>
          <t>89,000원 (데이터ON 프리미엄)</t>
        </is>
      </c>
      <c r="C14" s="37" t="inlineStr">
        <is>
          <t>✓</t>
        </is>
      </c>
      <c r="D14" s="37" t="n">
        <v>22250</v>
      </c>
      <c r="E14" s="37" t="inlineStr">
        <is>
          <t>25%</t>
        </is>
      </c>
    </row>
    <row r="15">
      <c r="A15" s="37" t="n">
        <v>90000</v>
      </c>
      <c r="B15" s="37" t="inlineStr">
        <is>
          <t>90,000원 (슈퍼플랜 베이직 Plus/초이스)</t>
        </is>
      </c>
      <c r="C15" s="37" t="inlineStr">
        <is>
          <t>✓</t>
        </is>
      </c>
      <c r="D15" s="37" t="n">
        <v>22500</v>
      </c>
      <c r="E15" s="37" t="inlineStr">
        <is>
          <t>25%</t>
        </is>
      </c>
    </row>
    <row r="16">
      <c r="A16" s="37" t="n">
        <v>100000</v>
      </c>
      <c r="B16" s="37" t="inlineStr">
        <is>
          <t>100,000원 (슈퍼플랜 스페셜)</t>
        </is>
      </c>
      <c r="C16" s="37" t="inlineStr">
        <is>
          <t>✓</t>
        </is>
      </c>
      <c r="D16" s="37" t="n">
        <v>25000</v>
      </c>
      <c r="E16" s="37" t="inlineStr">
        <is>
          <t>25%</t>
        </is>
      </c>
    </row>
    <row r="17">
      <c r="A17" s="37" t="n">
        <v>109000</v>
      </c>
      <c r="B17" s="37" t="inlineStr">
        <is>
          <t>109,000원 (데이터선택 109)</t>
        </is>
      </c>
      <c r="C17" s="37" t="inlineStr">
        <is>
          <t>✓</t>
        </is>
      </c>
      <c r="D17" s="37" t="n">
        <v>27500</v>
      </c>
      <c r="E17" s="37" t="inlineStr">
        <is>
          <t>≈25%</t>
        </is>
      </c>
    </row>
    <row r="18">
      <c r="A18" s="37" t="n">
        <v>110000</v>
      </c>
      <c r="B18" s="37" t="inlineStr">
        <is>
          <t>110,000원 (슈퍼플랜 스페셜 Plus/초이스)</t>
        </is>
      </c>
      <c r="C18" s="37" t="inlineStr">
        <is>
          <t>✓</t>
        </is>
      </c>
      <c r="D18" s="37" t="n">
        <v>27500</v>
      </c>
      <c r="E18" s="37" t="inlineStr">
        <is>
          <t>25%</t>
        </is>
      </c>
    </row>
    <row r="19">
      <c r="A19" s="37" t="n">
        <v>130000</v>
      </c>
      <c r="B19" s="37" t="inlineStr">
        <is>
          <t>130,000원 (슈퍼플랜 프리미엄/초이스)</t>
        </is>
      </c>
      <c r="C19" s="37" t="inlineStr">
        <is>
          <t>✓</t>
        </is>
      </c>
      <c r="D19" s="37" t="n">
        <v>32500</v>
      </c>
      <c r="E19" s="37" t="inlineStr">
        <is>
          <t>25%</t>
        </is>
      </c>
    </row>
  </sheetData>
  <mergeCells count="1">
    <mergeCell ref="A3: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38" t="inlineStr">
        <is>
          <t>🏷️ LG U+ 참쉬운가족결합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9" t="inlineStr">
        <is>
          <t>인터넷 할인</t>
        </is>
      </c>
      <c r="B4" s="39" t="n">
        <v>5500</v>
      </c>
      <c r="C4" s="39" t="n">
        <v>9900</v>
      </c>
      <c r="D4" s="39" t="n">
        <v>13200</v>
      </c>
    </row>
    <row r="6">
      <c r="A6" s="4" t="inlineStr">
        <is>
          <t>요금구간</t>
        </is>
      </c>
      <c r="B6" s="4" t="inlineStr">
        <is>
          <t>2회선</t>
        </is>
      </c>
      <c r="C6" s="4" t="inlineStr">
        <is>
          <t>3회선</t>
        </is>
      </c>
      <c r="D6" s="4" t="inlineStr">
        <is>
          <t>4+회선</t>
        </is>
      </c>
    </row>
    <row r="7">
      <c r="A7" s="39" t="inlineStr">
        <is>
          <t>69K 미만</t>
        </is>
      </c>
      <c r="B7" s="39" t="n">
        <v>2200</v>
      </c>
      <c r="C7" s="39" t="n">
        <v>3300</v>
      </c>
      <c r="D7" s="39" t="n">
        <v>4400</v>
      </c>
    </row>
    <row r="8">
      <c r="A8" s="39" t="inlineStr">
        <is>
          <t>69K 이상</t>
        </is>
      </c>
      <c r="B8" s="39" t="n">
        <v>3300</v>
      </c>
      <c r="C8" s="39" t="n">
        <v>5500</v>
      </c>
      <c r="D8" s="39" t="n">
        <v>6600</v>
      </c>
    </row>
    <row r="9">
      <c r="A9" s="39" t="inlineStr">
        <is>
          <t>88K 이상</t>
        </is>
      </c>
      <c r="B9" s="39" t="n">
        <v>4400</v>
      </c>
      <c r="C9" s="39" t="n">
        <v>6600</v>
      </c>
      <c r="D9" s="39" t="n">
        <v>8800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8" t="inlineStr">
        <is>
          <t>🏷️ LG U+ 투게더 (85K↑)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9" t="inlineStr">
        <is>
          <t>인터넷</t>
        </is>
      </c>
      <c r="B4" s="39" t="inlineStr">
        <is>
          <t>불가</t>
        </is>
      </c>
      <c r="C4" s="39" t="n">
        <v>11000</v>
      </c>
      <c r="D4" s="39" t="n">
        <v>11000</v>
      </c>
    </row>
    <row r="6">
      <c r="A6" s="4" t="inlineStr">
        <is>
          <t>회선수</t>
        </is>
      </c>
      <c r="B6" s="4" t="inlineStr">
        <is>
          <t>휴대폰 할인 (인당)</t>
        </is>
      </c>
    </row>
    <row r="7">
      <c r="A7" s="39" t="inlineStr">
        <is>
          <t>2회선</t>
        </is>
      </c>
      <c r="B7" s="39" t="n">
        <v>10000</v>
      </c>
    </row>
    <row r="8">
      <c r="A8" s="39" t="inlineStr">
        <is>
          <t>3회선</t>
        </is>
      </c>
      <c r="B8" s="39" t="n">
        <v>14000</v>
      </c>
    </row>
    <row r="9">
      <c r="A9" s="39" t="inlineStr">
        <is>
          <t>4~5회선</t>
        </is>
      </c>
      <c r="B9" s="39" t="n">
        <v>20000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40" t="inlineStr">
        <is>
          <t>interface CarrierData {</t>
        </is>
      </c>
    </row>
    <row r="4">
      <c r="A4" s="40" t="inlineStr">
        <is>
          <t xml:space="preserve">  name, prefix;</t>
        </is>
      </c>
    </row>
    <row r="5">
      <c r="A5" s="40" t="inlineStr">
        <is>
          <t xml:space="preserve">  internet: Record&lt;"100M"|"500M"|"1G", number&gt;;</t>
        </is>
      </c>
    </row>
    <row r="6">
      <c r="A6" s="40" t="inlineStr">
        <is>
          <t xml:space="preserve">  wifiCost? | wifiPrice?: Record&lt;Speed, number&gt;;</t>
        </is>
      </c>
    </row>
    <row r="7">
      <c r="A7" s="40" t="inlineStr">
        <is>
          <t xml:space="preserve">  setTopOptions: SetTop[]; wifiOptions: WiFi[];</t>
        </is>
      </c>
    </row>
    <row r="8">
      <c r="A8" s="40" t="inlineStr">
        <is>
          <t xml:space="preserve">  tvInternetNoWifi, tvInternetWithWifi: Record&lt;Speed, number&gt;;</t>
        </is>
      </c>
    </row>
    <row r="9">
      <c r="A9" s="40" t="inlineStr">
        <is>
          <t xml:space="preserve">  tv: TVProduct[];</t>
        </is>
      </c>
    </row>
    <row r="10">
      <c r="A10" s="40" t="inlineStr">
        <is>
          <t xml:space="preserve">  install: { solo, combo };</t>
        </is>
      </c>
    </row>
    <row r="11">
      <c r="A11" s="40" t="inlineStr">
        <is>
          <t xml:space="preserve">  gift: { solo: SpeedMap, combo: SpeedMap };</t>
        </is>
      </c>
    </row>
    <row r="12">
      <c r="A12" s="40" t="inlineStr">
        <is>
          <t xml:space="preserve">  bundle: BundleConfig;  // 3사별 상이</t>
        </is>
      </c>
    </row>
    <row r="13">
      <c r="A13" s="40" t="inlineStr">
        <is>
          <t>}</t>
        </is>
      </c>
    </row>
    <row r="14">
      <c r="A14" s="40" t="inlineStr"/>
    </row>
    <row r="15">
      <c r="A15" s="40" t="inlineStr">
        <is>
          <t>// SKT: bundle.family { internet, iptv, mobilePerBySpeed }</t>
        </is>
      </c>
    </row>
    <row r="16">
      <c r="A16" s="40" t="inlineStr">
        <is>
          <t>// KT:  bundle.{ranges_total, total, ranges_fixed, fixed, premium}</t>
        </is>
      </c>
    </row>
    <row r="17">
      <c r="A17" s="40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41" t="inlineStr">
        <is>
          <t>⚠️ 3사 결합할인 적용 방식 차이</t>
        </is>
      </c>
    </row>
    <row r="4">
      <c r="A4" s="42" t="inlineStr">
        <is>
          <t>• SKT 요즘가족결합: 단독가 REPLACE (요즘우리집 대체) → tvInternet 사용 X</t>
        </is>
      </c>
    </row>
    <row r="5">
      <c r="A5" s="42" t="inlineStr">
        <is>
          <t>• KT 총액/정액: 기본 TV결합 + 추가할인 STACK (중복)</t>
        </is>
      </c>
    </row>
    <row r="6">
      <c r="A6" s="42" t="inlineStr">
        <is>
          <t>• KT 프리미엄: 대표자+77K미만은 총액결합 / 77K↑ 구성원은 프리미엄 (독립)</t>
        </is>
      </c>
    </row>
    <row r="7">
      <c r="A7" s="42" t="inlineStr">
        <is>
          <t>• LG U+ 참쉬운: 단독가 REPLACE</t>
        </is>
      </c>
    </row>
    <row r="8">
      <c r="A8" s="42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2026-04-21T03:20:15Z</dcterms:created>
  <dcterms:modified xsi:type="dcterms:W3CDTF">2026-04-21T03:20:15Z</dcterms:modified>
</cp:coreProperties>
</file>