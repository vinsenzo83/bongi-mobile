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🧮 SKT 계산기" sheetId="2" state="visible" r:id="rId2"/>
    <sheet name="🧮 KT 계산기" sheetId="3" state="visible" r:id="rId3"/>
    <sheet name="🧮 LG U+ 계산기" sheetId="4" state="visible" r:id="rId4"/>
    <sheet name="01_Internet" sheetId="5" state="visible" r:id="rId5"/>
    <sheet name="02_TV" sheetId="6" state="visible" r:id="rId6"/>
    <sheet name="03_TV_Internet" sheetId="7" state="visible" r:id="rId7"/>
    <sheet name="04_SetTop" sheetId="8" state="visible" r:id="rId8"/>
    <sheet name="05_WiFi" sheetId="9" state="visible" r:id="rId9"/>
    <sheet name="06_Install" sheetId="10" state="visible" r:id="rId10"/>
    <sheet name="07_Gift" sheetId="11" state="visible" r:id="rId11"/>
    <sheet name="08_Cards" sheetId="12" state="visible" r:id="rId12"/>
    <sheet name="10_SKT_Bundle" sheetId="13" state="visible" r:id="rId13"/>
    <sheet name="11_KT_Total" sheetId="14" state="visible" r:id="rId14"/>
    <sheet name="12_KT_Fixed" sheetId="15" state="visible" r:id="rId15"/>
    <sheet name="13_KT_Premium" sheetId="16" state="visible" r:id="rId16"/>
    <sheet name="14_LGU_Chweyswun" sheetId="17" state="visible" r:id="rId17"/>
    <sheet name="15_LGU_Together" sheetId="18" state="visible" r:id="rId18"/>
    <sheet name="20_Schema" sheetId="19" state="visible" r:id="rId19"/>
    <sheet name="30_Formul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2">
    <font>
      <name val="Calibri"/>
      <family val="2"/>
      <color theme="1"/>
      <sz val="11"/>
      <scheme val="minor"/>
    </font>
    <font>
      <name val="Noto Sans KR"/>
      <b val="1"/>
      <color rgb="001a2744"/>
      <sz val="18"/>
    </font>
    <font>
      <name val="Noto Sans KR"/>
      <i val="1"/>
      <color rgb="00666666"/>
      <sz val="11"/>
    </font>
    <font>
      <name val="Noto Sans KR"/>
      <b val="1"/>
      <color rgb="001a2744"/>
      <sz val="14"/>
    </font>
    <font>
      <name val="Noto Sans KR"/>
      <b val="1"/>
      <color rgb="00ffffff"/>
      <sz val="11"/>
    </font>
    <font>
      <name val="Noto Sans KR"/>
      <sz val="10"/>
    </font>
    <font>
      <name val="Noto Sans KR"/>
      <b val="1"/>
      <color rgb="00ef4444"/>
      <sz val="13"/>
    </font>
    <font>
      <name val="Noto Sans KR"/>
      <b val="1"/>
      <color rgb="00ffffff"/>
      <sz val="18"/>
    </font>
    <font>
      <name val="Noto Sans KR"/>
      <b val="1"/>
      <color rgb="001a2744"/>
      <sz val="12"/>
    </font>
    <font>
      <name val="Noto Sans KR"/>
      <b val="1"/>
      <sz val="11"/>
    </font>
    <font>
      <name val="SF Mono"/>
      <b val="1"/>
      <color rgb="0092400e"/>
      <sz val="12"/>
    </font>
    <font>
      <name val="Noto Sans KR"/>
      <i val="1"/>
      <color rgb="00666666"/>
      <sz val="9"/>
    </font>
    <font>
      <name val="SF Mono"/>
      <color rgb="001a2744"/>
      <sz val="11"/>
    </font>
    <font>
      <name val="Noto Sans KR"/>
      <b val="1"/>
      <color rgb="00666666"/>
      <sz val="11"/>
    </font>
    <font>
      <name val="Noto Sans KR"/>
      <b val="1"/>
      <sz val="10"/>
    </font>
    <font>
      <name val="SF Mono"/>
      <b val="1"/>
      <color rgb="001a2744"/>
      <sz val="11"/>
    </font>
    <font>
      <name val="Noto Sans KR"/>
      <b val="1"/>
      <color rgb="00ef4444"/>
      <sz val="11"/>
    </font>
    <font>
      <name val="SF Mono"/>
      <b val="1"/>
      <color rgb="00ef4444"/>
      <sz val="11"/>
    </font>
    <font>
      <name val="SF Mono"/>
      <b val="1"/>
      <color rgb="00ef4444"/>
      <sz val="16"/>
    </font>
    <font>
      <name val="Noto Sans KR"/>
      <b val="1"/>
      <color rgb="002563eb"/>
      <sz val="11"/>
    </font>
    <font>
      <name val="SF Mono"/>
      <b val="1"/>
      <color rgb="002563eb"/>
      <sz val="11"/>
    </font>
    <font>
      <name val="SF Mono"/>
      <b val="1"/>
      <color rgb="002563eb"/>
      <sz val="16"/>
    </font>
    <font>
      <name val="Noto Sans KR"/>
      <b val="1"/>
      <color rgb="00e40981"/>
      <sz val="11"/>
    </font>
    <font>
      <name val="SF Mono"/>
      <b val="1"/>
      <color rgb="00e40981"/>
      <sz val="11"/>
    </font>
    <font>
      <name val="SF Mono"/>
      <b val="1"/>
      <color rgb="00e40981"/>
      <sz val="16"/>
    </font>
    <font>
      <name val="Noto Sans KR"/>
      <i val="1"/>
      <color rgb="0092400e"/>
      <sz val="10"/>
    </font>
    <font>
      <name val="Noto Sans KR"/>
      <b val="1"/>
      <color rgb="00ef4444"/>
      <sz val="14"/>
    </font>
    <font>
      <name val="Noto Sans KR"/>
      <b val="1"/>
      <color rgb="002563eb"/>
      <sz val="14"/>
    </font>
    <font>
      <name val="Noto Sans KR"/>
      <b val="1"/>
      <color rgb="00d97706"/>
      <sz val="14"/>
    </font>
    <font>
      <name val="Noto Sans KR"/>
      <b val="1"/>
      <color rgb="00e40981"/>
      <sz val="14"/>
    </font>
    <font>
      <name val="SF Mono"/>
      <color rgb="001a2744"/>
      <sz val="10"/>
    </font>
    <font>
      <name val="Noto Sans KR"/>
      <b val="1"/>
      <color rgb="00dc2626"/>
      <sz val="12"/>
    </font>
  </fonts>
  <fills count="11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f4444"/>
      </patternFill>
    </fill>
    <fill>
      <patternFill patternType="solid">
        <fgColor rgb="00fef3c7"/>
      </patternFill>
    </fill>
    <fill>
      <patternFill patternType="solid">
        <fgColor rgb="00fef2f2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e40981"/>
      </patternFill>
    </fill>
    <fill>
      <patternFill patternType="solid">
        <fgColor rgb="00fd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applyAlignment="1" pivotButton="0" quotePrefix="0" xfId="0">
      <alignment horizontal="right"/>
    </xf>
    <xf numFmtId="0" fontId="11" fillId="0" borderId="0" applyAlignment="1" pivotButton="0" quotePrefix="0" xfId="0">
      <alignment vertical="center"/>
    </xf>
    <xf numFmtId="0" fontId="13" fillId="0" borderId="0" pivotButton="0" quotePrefix="0" xfId="0"/>
    <xf numFmtId="164" fontId="12" fillId="0" borderId="1" applyAlignment="1" pivotButton="0" quotePrefix="0" xfId="0">
      <alignment horizontal="right"/>
    </xf>
    <xf numFmtId="0" fontId="14" fillId="0" borderId="0" pivotButton="0" quotePrefix="0" xfId="0"/>
    <xf numFmtId="164" fontId="15" fillId="5" borderId="1" applyAlignment="1" pivotButton="0" quotePrefix="0" xfId="0">
      <alignment horizontal="right"/>
    </xf>
    <xf numFmtId="0" fontId="16" fillId="0" borderId="0" pivotButton="0" quotePrefix="0" xfId="0"/>
    <xf numFmtId="164" fontId="12" fillId="5" borderId="1" applyAlignment="1" pivotButton="0" quotePrefix="0" xfId="0">
      <alignment horizontal="right"/>
    </xf>
    <xf numFmtId="164" fontId="18" fillId="6" borderId="1" applyAlignment="1" pivotButton="0" quotePrefix="0" xfId="0">
      <alignment horizontal="right"/>
    </xf>
    <xf numFmtId="0" fontId="7" fillId="7" borderId="0" applyAlignment="1" pivotButton="0" quotePrefix="0" xfId="0">
      <alignment horizontal="center" vertical="center"/>
    </xf>
    <xf numFmtId="164" fontId="15" fillId="8" borderId="1" applyAlignment="1" pivotButton="0" quotePrefix="0" xfId="0">
      <alignment horizontal="right"/>
    </xf>
    <xf numFmtId="0" fontId="19" fillId="0" borderId="0" pivotButton="0" quotePrefix="0" xfId="0"/>
    <xf numFmtId="164" fontId="12" fillId="8" borderId="1" applyAlignment="1" pivotButton="0" quotePrefix="0" xfId="0">
      <alignment horizontal="right"/>
    </xf>
    <xf numFmtId="164" fontId="21" fillId="6" borderId="1" applyAlignment="1" pivotButton="0" quotePrefix="0" xfId="0">
      <alignment horizontal="right"/>
    </xf>
    <xf numFmtId="0" fontId="7" fillId="9" borderId="0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right"/>
    </xf>
    <xf numFmtId="0" fontId="22" fillId="0" borderId="0" pivotButton="0" quotePrefix="0" xfId="0"/>
    <xf numFmtId="164" fontId="12" fillId="10" borderId="1" applyAlignment="1" pivotButton="0" quotePrefix="0" xfId="0">
      <alignment horizontal="right"/>
    </xf>
    <xf numFmtId="164" fontId="24" fillId="6" borderId="1" applyAlignment="1" pivotButton="0" quotePrefix="0" xfId="0">
      <alignment horizontal="right"/>
    </xf>
    <xf numFmtId="0" fontId="25" fillId="4" borderId="0" pivotButton="0" quotePrefix="0" xfId="0"/>
    <xf numFmtId="0" fontId="26" fillId="0" borderId="0" pivotButton="0" quotePrefix="0" xfId="0"/>
    <xf numFmtId="0" fontId="5" fillId="5" borderId="1" applyAlignment="1" pivotButton="0" quotePrefix="0" xfId="0">
      <alignment vertical="center"/>
    </xf>
    <xf numFmtId="0" fontId="27" fillId="0" borderId="0" pivotButton="0" quotePrefix="0" xfId="0"/>
    <xf numFmtId="0" fontId="5" fillId="8" borderId="1" applyAlignment="1" pivotButton="0" quotePrefix="0" xfId="0">
      <alignment vertical="center"/>
    </xf>
    <xf numFmtId="0" fontId="28" fillId="0" borderId="0" pivotButton="0" quotePrefix="0" xfId="0"/>
    <xf numFmtId="0" fontId="5" fillId="4" borderId="1" applyAlignment="1" pivotButton="0" quotePrefix="0" xfId="0">
      <alignment vertical="center"/>
    </xf>
    <xf numFmtId="0" fontId="29" fillId="0" borderId="0" pivotButton="0" quotePrefix="0" xfId="0"/>
    <xf numFmtId="0" fontId="5" fillId="10" borderId="1" applyAlignment="1" pivotButton="0" quotePrefix="0" xfId="0">
      <alignment vertical="center"/>
    </xf>
    <xf numFmtId="0" fontId="30" fillId="0" borderId="0" pivotButton="0" quotePrefix="0" xfId="0"/>
    <xf numFmtId="0" fontId="31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</cols>
  <sheetData>
    <row r="1">
      <c r="A1" s="1" t="inlineStr">
        <is>
          <t>🧮 봉이모바일 — 3사 통신 요금 계산기</t>
        </is>
      </c>
    </row>
    <row r="2">
      <c r="A2" s="2" t="inlineStr">
        <is>
          <t>출처: docs/calculator.html D 객체 · 2026-04-21</t>
        </is>
      </c>
    </row>
    <row r="4" ht="24" customHeight="1">
      <c r="A4" s="3" t="inlineStr">
        <is>
          <t>📋 시트 구조</t>
        </is>
      </c>
    </row>
    <row r="6">
      <c r="A6" s="4" t="inlineStr">
        <is>
          <t>시트명</t>
        </is>
      </c>
      <c r="B6" s="4" t="inlineStr">
        <is>
          <t>내용</t>
        </is>
      </c>
      <c r="C6" s="4" t="inlineStr">
        <is>
          <t>분류</t>
        </is>
      </c>
    </row>
    <row r="7">
      <c r="A7" s="5" t="inlineStr">
        <is>
          <t>🧮 SKT 계산기</t>
        </is>
      </c>
      <c r="B7" s="5" t="inlineStr">
        <is>
          <t>SKT 전용 요즘가족결합 계산기 (드롭다운)</t>
        </is>
      </c>
      <c r="C7" s="5" t="inlineStr">
        <is>
          <t>★ 계산</t>
        </is>
      </c>
    </row>
    <row r="8">
      <c r="A8" s="5" t="inlineStr">
        <is>
          <t>🧮 KT 계산기</t>
        </is>
      </c>
      <c r="B8" s="5" t="inlineStr">
        <is>
          <t>KT 전용 총액/정액/프리미엄 계산기</t>
        </is>
      </c>
      <c r="C8" s="5" t="inlineStr">
        <is>
          <t>★ 계산</t>
        </is>
      </c>
    </row>
    <row r="9">
      <c r="A9" s="5" t="inlineStr">
        <is>
          <t>🧮 LG U+ 계산기</t>
        </is>
      </c>
      <c r="B9" s="5" t="inlineStr">
        <is>
          <t>LG U+ 전용 참쉬운/투게더 계산기</t>
        </is>
      </c>
      <c r="C9" s="5" t="inlineStr">
        <is>
          <t>★ 계산</t>
        </is>
      </c>
    </row>
    <row r="10">
      <c r="A10" s="5" t="inlineStr">
        <is>
          <t>01_Internet</t>
        </is>
      </c>
      <c r="B10" s="5" t="inlineStr">
        <is>
          <t>인터넷 단독 요금</t>
        </is>
      </c>
      <c r="C10" s="5" t="inlineStr">
        <is>
          <t>데이터</t>
        </is>
      </c>
    </row>
    <row r="11">
      <c r="A11" s="5" t="inlineStr">
        <is>
          <t>02_TV</t>
        </is>
      </c>
      <c r="B11" s="5" t="inlineStr">
        <is>
          <t>TV 상품 (3사 전체)</t>
        </is>
      </c>
      <c r="C11" s="5" t="inlineStr">
        <is>
          <t>데이터</t>
        </is>
      </c>
    </row>
    <row r="12">
      <c r="A12" s="5" t="inlineStr">
        <is>
          <t>03_TV_Internet</t>
        </is>
      </c>
      <c r="B12" s="5" t="inlineStr">
        <is>
          <t>TV 결합 시 인터넷 (WiFi 유/무)</t>
        </is>
      </c>
      <c r="C12" s="5" t="inlineStr">
        <is>
          <t>데이터</t>
        </is>
      </c>
    </row>
    <row r="13">
      <c r="A13" s="5" t="inlineStr">
        <is>
          <t>04_SetTop</t>
        </is>
      </c>
      <c r="B13" s="5" t="inlineStr">
        <is>
          <t>셋톱박스 (기본값 설명 포함)</t>
        </is>
      </c>
      <c r="C13" s="5" t="inlineStr">
        <is>
          <t>데이터</t>
        </is>
      </c>
    </row>
    <row r="14">
      <c r="A14" s="5" t="inlineStr">
        <is>
          <t>05_WiFi</t>
        </is>
      </c>
      <c r="B14" s="5" t="inlineStr">
        <is>
          <t>WiFi (기본값 설명 포함)</t>
        </is>
      </c>
      <c r="C14" s="5" t="inlineStr">
        <is>
          <t>데이터</t>
        </is>
      </c>
    </row>
    <row r="15">
      <c r="A15" s="5" t="inlineStr">
        <is>
          <t>06_Install</t>
        </is>
      </c>
      <c r="B15" s="5" t="inlineStr">
        <is>
          <t>설치비</t>
        </is>
      </c>
      <c r="C15" s="5" t="inlineStr">
        <is>
          <t>데이터</t>
        </is>
      </c>
    </row>
    <row r="16">
      <c r="A16" s="5" t="inlineStr">
        <is>
          <t>07_Gift</t>
        </is>
      </c>
      <c r="B16" s="5" t="inlineStr">
        <is>
          <t>사은품</t>
        </is>
      </c>
      <c r="C16" s="5" t="inlineStr">
        <is>
          <t>데이터</t>
        </is>
      </c>
    </row>
    <row r="17">
      <c r="A17" s="5" t="inlineStr">
        <is>
          <t>08_Cards</t>
        </is>
      </c>
      <c r="B17" s="5" t="inlineStr">
        <is>
          <t>제휴카드 (26종)</t>
        </is>
      </c>
      <c r="C17" s="5" t="inlineStr">
        <is>
          <t>데이터</t>
        </is>
      </c>
    </row>
    <row r="18">
      <c r="A18" s="5" t="inlineStr">
        <is>
          <t>10_SKT_Bundle</t>
        </is>
      </c>
      <c r="B18" s="5" t="inlineStr">
        <is>
          <t>SKT 요즘가족결합 (15조합)</t>
        </is>
      </c>
      <c r="C18" s="5" t="inlineStr">
        <is>
          <t>결합</t>
        </is>
      </c>
    </row>
    <row r="19">
      <c r="A19" s="5" t="inlineStr">
        <is>
          <t>11_KT_Total</t>
        </is>
      </c>
      <c r="B19" s="5" t="inlineStr">
        <is>
          <t>KT 총액결합 (6구간)</t>
        </is>
      </c>
      <c r="C19" s="5" t="inlineStr">
        <is>
          <t>결합</t>
        </is>
      </c>
    </row>
    <row r="20">
      <c r="A20" s="5" t="inlineStr">
        <is>
          <t>12_KT_Fixed</t>
        </is>
      </c>
      <c r="B20" s="5" t="inlineStr">
        <is>
          <t>KT 정액결합 (4구간)</t>
        </is>
      </c>
      <c r="C20" s="5" t="inlineStr">
        <is>
          <t>결합</t>
        </is>
      </c>
    </row>
    <row r="21">
      <c r="A21" s="5" t="inlineStr">
        <is>
          <t>13_KT_Premium</t>
        </is>
      </c>
      <c r="B21" s="5" t="inlineStr">
        <is>
          <t>KT 💎 프리미엄 요금제 카탈로그</t>
        </is>
      </c>
      <c r="C21" s="5" t="inlineStr">
        <is>
          <t>결합</t>
        </is>
      </c>
    </row>
    <row r="22">
      <c r="A22" s="5" t="inlineStr">
        <is>
          <t>14_LGU_Chweyswun</t>
        </is>
      </c>
      <c r="B22" s="5" t="inlineStr">
        <is>
          <t>LG U+ 참쉬운가족결합</t>
        </is>
      </c>
      <c r="C22" s="5" t="inlineStr">
        <is>
          <t>결합</t>
        </is>
      </c>
    </row>
    <row r="23">
      <c r="A23" s="5" t="inlineStr">
        <is>
          <t>15_LGU_Together</t>
        </is>
      </c>
      <c r="B23" s="5" t="inlineStr">
        <is>
          <t>LG U+ 투게더 결합</t>
        </is>
      </c>
      <c r="C23" s="5" t="inlineStr">
        <is>
          <t>결합</t>
        </is>
      </c>
    </row>
    <row r="24">
      <c r="A24" s="5" t="inlineStr">
        <is>
          <t>20_Schema</t>
        </is>
      </c>
      <c r="B24" s="5" t="inlineStr">
        <is>
          <t>TypeScript 인터페이스</t>
        </is>
      </c>
      <c r="C24" s="5" t="inlineStr">
        <is>
          <t>개발</t>
        </is>
      </c>
    </row>
    <row r="25">
      <c r="A25" s="5" t="inlineStr">
        <is>
          <t>30_Formula</t>
        </is>
      </c>
      <c r="B25" s="5" t="inlineStr">
        <is>
          <t>계산 공식 (REPLACE vs STACK)</t>
        </is>
      </c>
      <c r="C25" s="5" t="inlineStr">
        <is>
          <t>개발</t>
        </is>
      </c>
    </row>
    <row r="28">
      <c r="A28" s="6" t="inlineStr">
        <is>
          <t>⚡ 사용법</t>
        </is>
      </c>
    </row>
    <row r="29">
      <c r="A29" s="7" t="inlineStr">
        <is>
          <t>1. 🧮 SKT / KT / LG U+ 계산기 중 고객 통신사 시트 선택</t>
        </is>
      </c>
    </row>
    <row r="30">
      <c r="A30" s="7" t="inlineStr">
        <is>
          <t>2. 노란 셀 클릭 → 드롭다운에서 속도/TV/WiFi/결합 선택</t>
        </is>
      </c>
    </row>
    <row r="31">
      <c r="A31" s="7" t="inlineStr">
        <is>
          <t>3. 하단에 단계별 계산 결과 + 🎉 혜택가 자동 표시</t>
        </is>
      </c>
    </row>
    <row r="32">
      <c r="A32" s="7" t="inlineStr">
        <is>
          <t>4. 각 행에 출처 데이터 시트 주석 (→ 01_Internet 등)</t>
        </is>
      </c>
    </row>
  </sheetData>
  <mergeCells count="7">
    <mergeCell ref="A28:C28"/>
    <mergeCell ref="A1:C1"/>
    <mergeCell ref="A32:C32"/>
    <mergeCell ref="A31:C31"/>
    <mergeCell ref="A30:C30"/>
    <mergeCell ref="A29:C2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20" customWidth="1" min="4" max="4"/>
    <col width="15" customWidth="1" min="5" max="5"/>
  </cols>
  <sheetData>
    <row r="1" ht="36" customHeight="1">
      <c r="A1" s="8" t="inlineStr">
        <is>
          <t>🧮 SKT 요즘가족결합 계산기</t>
        </is>
      </c>
    </row>
    <row r="3">
      <c r="A3" s="9" t="inlineStr">
        <is>
          <t>📝 입력 (노란 셀 클릭 → 드롭다운)</t>
        </is>
      </c>
    </row>
    <row r="4">
      <c r="A4" s="10" t="inlineStr">
        <is>
          <t>속도</t>
        </is>
      </c>
      <c r="B4" s="11" t="inlineStr">
        <is>
          <t>500M</t>
        </is>
      </c>
      <c r="C4" s="12" t="inlineStr">
        <is>
          <t>100M / 500M / 1G</t>
        </is>
      </c>
    </row>
    <row r="5">
      <c r="A5" s="10" t="inlineStr">
        <is>
          <t>TV 상품</t>
        </is>
      </c>
      <c r="B5" s="11" t="inlineStr">
        <is>
          <t>B tv 올</t>
        </is>
      </c>
      <c r="C5" s="12" t="inlineStr">
        <is>
          <t>SKT B tv 9종</t>
        </is>
      </c>
    </row>
    <row r="6">
      <c r="A6" s="10" t="inlineStr">
        <is>
          <t>WiFi 사용</t>
        </is>
      </c>
      <c r="B6" s="11" t="inlineStr">
        <is>
          <t>N</t>
        </is>
      </c>
      <c r="C6" s="12" t="inlineStr">
        <is>
          <t>Y=+1,100원 / N=미사용</t>
        </is>
      </c>
    </row>
    <row r="7">
      <c r="A7" s="10" t="inlineStr">
        <is>
          <t>휴대폰 회선수</t>
        </is>
      </c>
      <c r="B7" s="11" t="n">
        <v>3</v>
      </c>
      <c r="C7" s="12" t="inlineStr">
        <is>
          <t>0=결합없음 / 1~5</t>
        </is>
      </c>
    </row>
    <row r="9">
      <c r="A9" s="9" t="inlineStr">
        <is>
          <t>🧮 자동 계산</t>
        </is>
      </c>
    </row>
    <row r="10">
      <c r="A10" s="7" t="inlineStr">
        <is>
          <t>TV 인덱스 (내부 변환)</t>
        </is>
      </c>
      <c r="B10" s="13">
        <f>MATCH(B5,{"TV 없음","B tv 이코노미","B tv 스탠다드","B tv 올","B tv 스탠다드 플러스","B tv 올 플러스","B tv 스탠다드 넷플릭스","B tv 올 넷플릭스","B tv 스탠다드 넷플릭스 프리미엄","B tv 올 넷플릭스 프리미엄"},0)</f>
        <v/>
      </c>
      <c r="C10" s="14" t="inlineStr">
        <is>
          <t>드롭다운 이름 → 배열 번호 (1=TV 없음, 2~10=상품) · 수식 조회용</t>
        </is>
      </c>
    </row>
    <row r="11">
      <c r="A11" s="7" t="inlineStr">
        <is>
          <t>TV 선택 여부 (내부 변환)</t>
        </is>
      </c>
      <c r="B11" s="13">
        <f>IF(B5="TV 없음",0,1)</f>
        <v/>
      </c>
      <c r="C11" s="14" t="inlineStr">
        <is>
          <t>0=TV 없음 (인터넷 단독) / 1=TV 결합 · 수식 분기용</t>
        </is>
      </c>
    </row>
    <row r="13">
      <c r="A13" s="15" t="inlineStr">
        <is>
          <t>📊 데이터 조회</t>
        </is>
      </c>
    </row>
    <row r="14">
      <c r="A14" s="7" t="inlineStr">
        <is>
          <t>인터넷 단독가</t>
        </is>
      </c>
      <c r="B14" s="16">
        <f>IF(B4="100M",22000,IF(B4="500M",33000,38500))</f>
        <v/>
      </c>
      <c r="C14" s="14" t="inlineStr">
        <is>
          <t>→ 01_Internet · SKT 단독가</t>
        </is>
      </c>
    </row>
    <row r="15">
      <c r="A15" s="7" t="inlineStr">
        <is>
          <t>TV 상품 가격 (p)</t>
        </is>
      </c>
      <c r="B15" s="16">
        <f>IF(B11=0,0,CHOOSE(B10-1,12100,15400,18700,23100,24200,27700,30200,30700,33200))</f>
        <v/>
      </c>
      <c r="C15" s="14" t="inlineStr">
        <is>
          <t>→ 02_TV · SKT TV 9종</t>
        </is>
      </c>
    </row>
    <row r="16">
      <c r="A16" s="7" t="inlineStr">
        <is>
          <t>TV 결합할인 (dc)</t>
        </is>
      </c>
      <c r="B16" s="16">
        <f>IF(B11=0,0,2200)</f>
        <v/>
      </c>
      <c r="C16" s="14" t="inlineStr">
        <is>
          <t>→ 02_TV · SKT 전 상품 -2,200 균일</t>
        </is>
      </c>
    </row>
    <row r="17">
      <c r="A17" s="7" t="inlineStr">
        <is>
          <t>WiFi 추가금</t>
        </is>
      </c>
      <c r="B17" s="16">
        <f>IF(B6="Y",1100,0)</f>
        <v/>
      </c>
      <c r="C17" s="14" t="inlineStr">
        <is>
          <t>→ 05_WiFi · SKT GIGA WiFi (기본) 속도 균일 1,100원</t>
        </is>
      </c>
    </row>
    <row r="18">
      <c r="A18" s="7" t="inlineStr">
        <is>
          <t>tvInternetNoWifi</t>
        </is>
      </c>
      <c r="B18" s="16">
        <f>IF(B4="100M",19800,IF(B4="500M",27500,33000))</f>
        <v/>
      </c>
      <c r="C18" s="14" t="inlineStr">
        <is>
          <t>→ 03_TV_Internet · WiFi 미포함 결합가</t>
        </is>
      </c>
    </row>
    <row r="19">
      <c r="A19" s="7" t="inlineStr">
        <is>
          <t>tvInternetWithWifi</t>
        </is>
      </c>
      <c r="B19" s="16">
        <f>IF(B4="100M",22000,IF(B4="500M",28600,34100))</f>
        <v/>
      </c>
      <c r="C19" s="14" t="inlineStr">
        <is>
          <t>→ 03_TV_Internet · WiFi 포함 결합가</t>
        </is>
      </c>
    </row>
    <row r="20">
      <c r="A20" s="7" t="inlineStr">
        <is>
          <t>셋톱박스 (스마트3)</t>
        </is>
      </c>
      <c r="B20" s="16">
        <f>4400</f>
        <v/>
      </c>
      <c r="C20" s="14" t="inlineStr">
        <is>
          <t>→ 04_SetTop · 기본 모델 (매장 판매 1위)</t>
        </is>
      </c>
    </row>
    <row r="22">
      <c r="A22" s="15" t="inlineStr">
        <is>
          <t>【경로 A】 결합없음 (휴대폰 결합 X)</t>
        </is>
      </c>
    </row>
    <row r="23">
      <c r="A23" s="17" t="inlineStr">
        <is>
          <t xml:space="preserve">  월 기본요금 (요즘우리집 · 휴대폰결합 없을 때)</t>
        </is>
      </c>
      <c r="B23" s="18">
        <f>IF(B11=0,B14+B17,IF(B6="Y",B19,B18)+B15-B16+B20)</f>
        <v/>
      </c>
      <c r="C23" s="14" t="inlineStr">
        <is>
          <t>TV 결합: tvInternet(WiFi반영) + (p-dc) + 셋톱 / TV 없음: 단독+WiFi</t>
        </is>
      </c>
    </row>
    <row r="25">
      <c r="A25" s="19" t="inlineStr">
        <is>
          <t>【경로 B】 요즘가족결합 (휴대폰 결합 · 단독가 REPLACE)</t>
        </is>
      </c>
    </row>
    <row r="26">
      <c r="A26" s="7" t="inlineStr">
        <is>
          <t xml:space="preserve">  요즘가족 인터넷 할인</t>
        </is>
      </c>
      <c r="B26" s="16">
        <f>IF(B7=0,0,IF(B4="100M",4400,IF(B4="500M",11000,13200)))</f>
        <v/>
      </c>
      <c r="C26" s="14" t="inlineStr">
        <is>
          <t>→ 10_SKT_Bundle · 단독가 기준 차감 (요즘우리집 REPLACE)</t>
        </is>
      </c>
    </row>
    <row r="27">
      <c r="A27" s="7" t="inlineStr">
        <is>
          <t xml:space="preserve">  IPTV 추가 (TV+결합 시)</t>
        </is>
      </c>
      <c r="B27" s="16">
        <f>IF(AND(B7&gt;0,B11=1),1100,0)</f>
        <v/>
      </c>
      <c r="C27" s="14" t="inlineStr">
        <is>
          <t>TV 결합 시에만 추가 -1,100원</t>
        </is>
      </c>
    </row>
    <row r="28">
      <c r="A28" s="7" t="inlineStr">
        <is>
          <t xml:space="preserve">  휴대폰 인당 할인</t>
        </is>
      </c>
      <c r="B28" s="16">
        <f>IF(B7=0,0,IF(B4="100M",CHOOSE(B7,3500,3500,6000,4500,3600),CHOOSE(B7,3500,3500,6000,6000,4800)))</f>
        <v/>
      </c>
      <c r="C28" s="14" t="inlineStr">
        <is>
          <t>→ 10_SKT_Bundle · 속도+회선수별 인당</t>
        </is>
      </c>
    </row>
    <row r="29">
      <c r="A29" s="7" t="inlineStr">
        <is>
          <t xml:space="preserve">  휴대폰 총 할인</t>
        </is>
      </c>
      <c r="B29" s="16">
        <f>B28*B7</f>
        <v/>
      </c>
      <c r="C29" s="14" t="inlineStr">
        <is>
          <t>인당 × 회선수 (휴대폰 고지서 별도 차감)</t>
        </is>
      </c>
    </row>
    <row r="31">
      <c r="A31" s="7" t="inlineStr">
        <is>
          <t xml:space="preserve">  → 인터넷 (단독 - 요즘가족할인)</t>
        </is>
      </c>
      <c r="B31" s="20">
        <f>IF(B7=0,"-",B14+B17-B26)</f>
        <v/>
      </c>
    </row>
    <row r="32">
      <c r="A32" s="7" t="inlineStr">
        <is>
          <t xml:space="preserve">  → TV (p - dc - iptv)</t>
        </is>
      </c>
      <c r="B32" s="20">
        <f>IF(B7=0,"-",IF(B11=0,0,B15-B16-B27))</f>
        <v/>
      </c>
    </row>
    <row r="33">
      <c r="A33" s="7" t="inlineStr">
        <is>
          <t xml:space="preserve">  → 셋톱 (TV 있을 때만)</t>
        </is>
      </c>
      <c r="B33" s="20">
        <f>IF(B7=0,"-",IF(B11=0,0,B20))</f>
        <v/>
      </c>
    </row>
    <row r="34">
      <c r="A34" s="17" t="inlineStr">
        <is>
          <t xml:space="preserve">  = 인터넷+TV 월 실납부 (결합 적용)</t>
        </is>
      </c>
      <c r="B34" s="18">
        <f>IF(B7=0,"-",(B14+B17-B26)+IF(B11=0,0,B15-B16-B27+B20))</f>
        <v/>
      </c>
    </row>
    <row r="35">
      <c r="A35" s="7" t="inlineStr">
        <is>
          <t xml:space="preserve">  - 휴대폰 고지서 별도 차감</t>
        </is>
      </c>
      <c r="B35" s="20">
        <f>IF(B7=0,"-",-B29)</f>
        <v/>
      </c>
    </row>
    <row r="36">
      <c r="A36" s="17" t="inlineStr">
        <is>
          <t>🎉 혜택가 (최종 월요금)</t>
        </is>
      </c>
      <c r="B36" s="21">
        <f>IF(B7=0,B23,B34-B29)</f>
        <v/>
      </c>
      <c r="C36" s="14" t="inlineStr">
        <is>
          <t>결합없음이면 경로 A 값 / 결합 있으면 경로 B - 휴대폰할인</t>
        </is>
      </c>
    </row>
    <row r="38">
      <c r="A38" s="15" t="inlineStr">
        <is>
          <t>🎁 부가 혜택</t>
        </is>
      </c>
    </row>
    <row r="39">
      <c r="A39" s="7" t="inlineStr">
        <is>
          <t xml:space="preserve">  설치비 (1회성)</t>
        </is>
      </c>
      <c r="B39" s="16">
        <f>IF(B11=0,36300,56100)</f>
        <v/>
      </c>
      <c r="C39" s="14" t="inlineStr">
        <is>
          <t>→ 06_Install</t>
        </is>
      </c>
    </row>
    <row r="40">
      <c r="A40" s="7" t="inlineStr">
        <is>
          <t xml:space="preserve">  사은품 (속도×TV결합)</t>
        </is>
      </c>
      <c r="B40" s="16">
        <f>IF(B11=0,IF(B4="100M",110000,170000),CHOOSE(MATCH(B4,{"100M","500M","1G"},0),400000,430000,490000))</f>
        <v/>
      </c>
      <c r="C40" s="14" t="inlineStr">
        <is>
          <t>→ 07_Gift</t>
        </is>
      </c>
    </row>
  </sheetData>
  <mergeCells count="26">
    <mergeCell ref="C16:E16"/>
    <mergeCell ref="C40:E40"/>
    <mergeCell ref="A1:E1"/>
    <mergeCell ref="C36:E36"/>
    <mergeCell ref="C11:E11"/>
    <mergeCell ref="C27:E27"/>
    <mergeCell ref="C23:E23"/>
    <mergeCell ref="A25:E25"/>
    <mergeCell ref="C39:E39"/>
    <mergeCell ref="C17:E17"/>
    <mergeCell ref="C7:E7"/>
    <mergeCell ref="A3:E3"/>
    <mergeCell ref="C28:E28"/>
    <mergeCell ref="C19:E19"/>
    <mergeCell ref="C18:E18"/>
    <mergeCell ref="A22:E22"/>
    <mergeCell ref="C15:E15"/>
    <mergeCell ref="C6:E6"/>
    <mergeCell ref="C14:E14"/>
    <mergeCell ref="C5:E5"/>
    <mergeCell ref="C4:E4"/>
    <mergeCell ref="C26:E26"/>
    <mergeCell ref="C29:E29"/>
    <mergeCell ref="C20:E20"/>
    <mergeCell ref="A9:E9"/>
    <mergeCell ref="C10:E10"/>
  </mergeCells>
  <dataValidations count="4">
    <dataValidation sqref="B4" showDropDown="0" showInputMessage="0" showErrorMessage="0" allowBlank="0" type="list">
      <formula1>"100M,500M,1G"</formula1>
    </dataValidation>
    <dataValidation sqref="B5" showDropDown="0" showInputMessage="0" showErrorMessage="0" allowBlank="0" type="list">
      <formula1>"TV 없음,B tv 이코노미,B tv 스탠다드,B tv 올,B tv 스탠다드 플러스,B tv 올 플러스,B tv 스탠다드 넷플릭스,B tv 올 넷플릭스,B tv 스탠다드 넷플릭스 프리미엄,B tv 올 넷플릭스 프리미엄"</formula1>
    </dataValidation>
    <dataValidation sqref="B6" showDropDown="0" showInputMessage="0" showErrorMessage="0" allowBlank="0" type="list">
      <formula1>"Y,N"</formula1>
    </dataValidation>
    <dataValidation sqref="B7" showDropDown="0" showInputMessage="0" showErrorMessage="0" allowBlank="0" type="list">
      <formula1>"0,1,2,3,4,5"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20" customWidth="1" min="4" max="4"/>
    <col width="15" customWidth="1" min="5" max="5"/>
  </cols>
  <sheetData>
    <row r="1" ht="36" customHeight="1">
      <c r="A1" s="22" t="inlineStr">
        <is>
          <t>🧮 KT 총액/정액 결합 계산기</t>
        </is>
      </c>
    </row>
    <row r="3">
      <c r="A3" s="9" t="inlineStr">
        <is>
          <t>📝 입력</t>
        </is>
      </c>
    </row>
    <row r="4">
      <c r="A4" s="10" t="inlineStr">
        <is>
          <t>속도</t>
        </is>
      </c>
      <c r="B4" s="11" t="inlineStr">
        <is>
          <t>500M</t>
        </is>
      </c>
      <c r="C4" s="12" t="inlineStr">
        <is>
          <t>100M / 500M / 1G</t>
        </is>
      </c>
    </row>
    <row r="5">
      <c r="A5" s="10" t="inlineStr">
        <is>
          <t>TV 상품</t>
        </is>
      </c>
      <c r="B5" s="11" t="inlineStr">
        <is>
          <t>지니TV 에센스</t>
        </is>
      </c>
      <c r="C5" s="12" t="inlineStr">
        <is>
          <t>KT 지니TV 5종</t>
        </is>
      </c>
    </row>
    <row r="6">
      <c r="A6" s="10" t="inlineStr">
        <is>
          <t>WiFi 사용</t>
        </is>
      </c>
      <c r="B6" s="11" t="inlineStr">
        <is>
          <t>Y</t>
        </is>
      </c>
      <c r="C6" s="12" t="inlineStr">
        <is>
          <t>Y=1,100원 (1G는 무료) / N</t>
        </is>
      </c>
    </row>
    <row r="7">
      <c r="A7" s="10" t="inlineStr">
        <is>
          <t>결합 종류</t>
        </is>
      </c>
      <c r="B7" s="11" t="inlineStr">
        <is>
          <t>총액결합</t>
        </is>
      </c>
      <c r="C7" s="12" t="inlineStr">
        <is>
          <t>결합없음/총액/정액/💎프리미엄</t>
        </is>
      </c>
    </row>
    <row r="8">
      <c r="A8" s="10" t="inlineStr">
        <is>
          <t>총액결합 구간 (1~6)</t>
        </is>
      </c>
      <c r="B8" s="11" t="n">
        <v>4</v>
      </c>
      <c r="C8" s="12" t="inlineStr">
        <is>
          <t>1=22K↓, 2=22K↑, 3=64.9K↑, 4=108.9K↑, 5=141.9K↑, 6=174.9K↑</t>
        </is>
      </c>
    </row>
    <row r="9">
      <c r="A9" s="10" t="inlineStr">
        <is>
          <t>정액결합 구간 (1~4)</t>
        </is>
      </c>
      <c r="B9" s="11" t="n">
        <v>2</v>
      </c>
      <c r="C9" s="12" t="inlineStr">
        <is>
          <t>1=37K↓, 2=37K↑, 3=61K↑, 4=77K↑</t>
        </is>
      </c>
    </row>
    <row r="10">
      <c r="A10" s="10" t="inlineStr">
        <is>
          <t>💎 프리미엄 요금제</t>
        </is>
      </c>
      <c r="B10" s="11" t="inlineStr">
        <is>
          <t>89,000원</t>
        </is>
      </c>
      <c r="C10" s="12" t="inlineStr">
        <is>
          <t>77K+ 요금제 (드롭다운)</t>
        </is>
      </c>
    </row>
    <row r="11">
      <c r="A11" s="10" t="inlineStr">
        <is>
          <t>💎 프리미엄 회선수</t>
        </is>
      </c>
      <c r="B11" s="11" t="n">
        <v>2</v>
      </c>
      <c r="C11" s="12" t="inlineStr">
        <is>
          <t>대표자 제외 구성원 77K+ 회선수 (최소 1명)</t>
        </is>
      </c>
    </row>
    <row r="13">
      <c r="A13" s="9" t="inlineStr">
        <is>
          <t>🧮 자동 계산</t>
        </is>
      </c>
    </row>
    <row r="14">
      <c r="A14" s="7" t="inlineStr">
        <is>
          <t>TV 인덱스 (내부 변환)</t>
        </is>
      </c>
      <c r="B14" s="13">
        <f>MATCH(B5,{"TV 없음","지니TV 베이직","지니TV 라이트","지니TV 에센스","지니TV 모든G","지니TV 디즈니+모든G"},0)</f>
        <v/>
      </c>
      <c r="C14" s="14" t="inlineStr">
        <is>
          <t>드롭다운 이름 → 배열 번호 (1=없음, 2~6=상품) · 수식 조회용</t>
        </is>
      </c>
    </row>
    <row r="15">
      <c r="A15" s="7" t="inlineStr">
        <is>
          <t>TV 선택 여부 (내부 변환)</t>
        </is>
      </c>
      <c r="B15" s="13">
        <f>IF(B5="TV 없음",0,1)</f>
        <v/>
      </c>
      <c r="C15" s="14" t="inlineStr">
        <is>
          <t>0=TV 없음 / 1=TV 결합 · 수식 분기용</t>
        </is>
      </c>
    </row>
    <row r="17">
      <c r="A17" s="15" t="inlineStr">
        <is>
          <t>📊 데이터 조회</t>
        </is>
      </c>
    </row>
    <row r="18">
      <c r="A18" s="7" t="inlineStr">
        <is>
          <t>인터넷 단독가</t>
        </is>
      </c>
      <c r="B18" s="16">
        <f>IF(B4="100M",22000,IF(B4="500M",33000,38500))</f>
        <v/>
      </c>
      <c r="C18" s="14" t="inlineStr">
        <is>
          <t>→ 01_Internet</t>
        </is>
      </c>
    </row>
    <row r="19">
      <c r="A19" s="7" t="inlineStr">
        <is>
          <t>TV 가격 (p)</t>
        </is>
      </c>
      <c r="B19" s="16">
        <f>IF(B15=0,0,CHOOSE(B14-1,14740,15840,20240,21340,28100))</f>
        <v/>
      </c>
      <c r="C19" s="14" t="inlineStr">
        <is>
          <t>→ 02_TV · KT 지니TV</t>
        </is>
      </c>
    </row>
    <row r="20">
      <c r="A20" s="7" t="inlineStr">
        <is>
          <t>TV 결합할인 (dc)</t>
        </is>
      </c>
      <c r="B20" s="16">
        <f>IF(B15=0,0,CHOOSE(B14-1,2640,2640,3740,4400,6600))</f>
        <v/>
      </c>
      <c r="C20" s="14" t="inlineStr">
        <is>
          <t>→ 02_TV · KT 상품별 차등</t>
        </is>
      </c>
    </row>
    <row r="21">
      <c r="A21" s="7" t="inlineStr">
        <is>
          <t>WiFi 추가금 (속도별)</t>
        </is>
      </c>
      <c r="B21" s="16">
        <f>IF(B6="Y",IF(B4="1G",0,1100),0)</f>
        <v/>
      </c>
      <c r="C21" s="14" t="inlineStr">
        <is>
          <t>→ 05_WiFi · KT WAVE2 (기본) · 1G는 무료</t>
        </is>
      </c>
    </row>
    <row r="22">
      <c r="A22" s="7" t="inlineStr">
        <is>
          <t>tvInternetNoWifi</t>
        </is>
      </c>
      <c r="B22" s="16">
        <f>IF(B4="100M",22000,IF(B4="500M",27500,33000))</f>
        <v/>
      </c>
      <c r="C22" s="14" t="inlineStr">
        <is>
          <t>→ 03_TV_Internet</t>
        </is>
      </c>
    </row>
    <row r="23">
      <c r="A23" s="7" t="inlineStr">
        <is>
          <t>tvInternetWithWifi</t>
        </is>
      </c>
      <c r="B23" s="16">
        <f>IF(B4="100M",23100,IF(B4="500M",28600,33000))</f>
        <v/>
      </c>
      <c r="C23" s="14" t="inlineStr">
        <is>
          <t>→ 03_TV_Internet · 1G는 동일</t>
        </is>
      </c>
    </row>
    <row r="24">
      <c r="A24" s="7" t="inlineStr">
        <is>
          <t>셋톱박스 (기가지니3)</t>
        </is>
      </c>
      <c r="B24" s="16">
        <f>4400</f>
        <v/>
      </c>
      <c r="C24" s="14" t="inlineStr">
        <is>
          <t>→ 04_SetTop · 기본 모델 · 고객 선호 1위</t>
        </is>
      </c>
    </row>
    <row r="26">
      <c r="A26" s="15" t="inlineStr">
        <is>
          <t>【경로 A】 결합없음 (기본 TV 결합)</t>
        </is>
      </c>
    </row>
    <row r="27">
      <c r="A27" s="17" t="inlineStr">
        <is>
          <t xml:space="preserve">  월 기본요금 (기본 TV결합 · 휴대폰결합 없을 때)</t>
        </is>
      </c>
      <c r="B27" s="23">
        <f>IF(B15=0,B18+B21,IF(B6="Y",B23,B22)+B19-B20+B24)</f>
        <v/>
      </c>
      <c r="C27" s="14" t="inlineStr">
        <is>
          <t>KT 기본 TV결합 할인 자동 적용 (tvInternetNoWifi/WithWifi)</t>
        </is>
      </c>
    </row>
    <row r="29">
      <c r="A29" s="24" t="inlineStr">
        <is>
          <t>【경로 B】 결합 적용 (STACK — 기본 TV결합 + 추가할인)</t>
        </is>
      </c>
    </row>
    <row r="30">
      <c r="A30" s="7" t="inlineStr">
        <is>
          <t xml:space="preserve">  [총액] 인터넷 추가 할인</t>
        </is>
      </c>
      <c r="B30" s="16">
        <f>IF(B7="총액결합",IF(B4="100M",CHOOSE(B8,1650,3300,5500,5500,5500,5500),CHOOSE(B8,2200,5500,5500,5500,5500,5500)),0)</f>
        <v/>
      </c>
      <c r="C30" s="14" t="inlineStr">
        <is>
          <t>→ 11_KT_Total · STACK 중복 적용</t>
        </is>
      </c>
    </row>
    <row r="31">
      <c r="A31" s="7" t="inlineStr">
        <is>
          <t xml:space="preserve">  [총액] 휴대폰 할인</t>
        </is>
      </c>
      <c r="B31" s="16">
        <f>IF(B7="총액결합",IF(B4="100M",CHOOSE(B8,0,0,3300,14300,18700,23100),CHOOSE(B8,0,0,5500,16610,22110,27610)),0)</f>
        <v/>
      </c>
      <c r="C31" s="14" t="inlineStr">
        <is>
          <t>→ 11_KT_Total · 휴대폰 고지서 별도</t>
        </is>
      </c>
    </row>
    <row r="32">
      <c r="A32" s="7" t="inlineStr">
        <is>
          <t xml:space="preserve">  [정액] 인터넷 할인</t>
        </is>
      </c>
      <c r="B32" s="16">
        <f>IF(B7="정액결합",5500,0)</f>
        <v/>
      </c>
      <c r="C32" s="14" t="inlineStr">
        <is>
          <t>→ 12_KT_Fixed · 전구간 5,500 고정</t>
        </is>
      </c>
    </row>
    <row r="33">
      <c r="A33" s="7" t="inlineStr">
        <is>
          <t xml:space="preserve">  [정액] 휴대폰 할인</t>
        </is>
      </c>
      <c r="B33" s="16">
        <f>IF(B7="정액결합",CHOOSE(B9,0,3000,5000,7000),0)</f>
        <v/>
      </c>
      <c r="C33" s="14" t="inlineStr">
        <is>
          <t>→ 12_KT_Fixed · 4구간</t>
        </is>
      </c>
    </row>
    <row r="34">
      <c r="A34" s="7" t="inlineStr">
        <is>
          <t xml:space="preserve">  [💎프리미엄] 인터넷 할인 (고정)</t>
        </is>
      </c>
      <c r="B34" s="16">
        <f>IF(B7="💎 프리미엄 가족결합",5500,0)</f>
        <v/>
      </c>
      <c r="C34" s="14" t="inlineStr">
        <is>
          <t>→ 13_KT_Premium · 인터넷 또는 대표자 휴대폰 고정 -5,500</t>
        </is>
      </c>
    </row>
    <row r="35">
      <c r="A35" s="7" t="inlineStr">
        <is>
          <t xml:space="preserve">  [💎프리미엄] 대표자 총액결합 (합산=요금제1명)</t>
        </is>
      </c>
      <c r="B35" s="16">
        <f>IF(B7="💎 프리미엄 가족결합",IF(B4="100M",CHOOSE(B8,0,0,3300,14300,18700,23100),CHOOSE(B8,0,0,5500,16610,22110,27610)),0)</f>
        <v/>
      </c>
      <c r="C35" s="14" t="inlineStr">
        <is>
          <t>총액결합 구간 활용 (대표자 1명 기준)</t>
        </is>
      </c>
    </row>
    <row r="36">
      <c r="A36" s="7" t="inlineStr">
        <is>
          <t xml:space="preserve">  [💎프리미엄] 요금제별 할인액</t>
        </is>
      </c>
      <c r="B36" s="16">
        <f>IF(B7="💎 프리미엄 가족결합",CHOOSE(MATCH(B10,{"77,000원","80,000원","87,890원","89,000원","90,000원","100,000원","109,000원","110,000원","130,000원"},0),19250,20000,22000,22250,22500,25000,27500,27500,32500),0)</f>
        <v/>
      </c>
      <c r="C36" s="14" t="inlineStr">
        <is>
          <t>→ 13_KT_Premium · planCatalog dc</t>
        </is>
      </c>
    </row>
    <row r="37">
      <c r="A37" s="7" t="inlineStr">
        <is>
          <t xml:space="preserve">  [💎프리미엄] 구성원 총 할인 (dc × 회선수)</t>
        </is>
      </c>
      <c r="B37" s="16">
        <f>B36*IF(B7="💎 프리미엄 가족결합",B11,0)</f>
        <v/>
      </c>
      <c r="C37" s="14" t="inlineStr">
        <is>
          <t>77K+ 구성원만 해당 (대표자 제외)</t>
        </is>
      </c>
    </row>
    <row r="39">
      <c r="A39" s="17" t="inlineStr">
        <is>
          <t xml:space="preserve">  = 인터넷+TV 월 실납부</t>
        </is>
      </c>
      <c r="B39" s="23">
        <f>IF(B7="💎 프리미엄 가족결합",B27-B34,B27-B30-B32)</f>
        <v/>
      </c>
      <c r="C39" s="14" t="inlineStr">
        <is>
          <t>프리미엄: -5,500 고정 / 총액+정액: 해당 할인</t>
        </is>
      </c>
    </row>
    <row r="40">
      <c r="A40" s="7" t="inlineStr">
        <is>
          <t xml:space="preserve">  - 휴대폰 고지서 별도 차감</t>
        </is>
      </c>
      <c r="B40" s="25">
        <f>-(B31+B33+B35+B37)</f>
        <v/>
      </c>
      <c r="C40" s="14" t="inlineStr">
        <is>
          <t>총액/정액 + 프리미엄(대표자 총액 + 구성원 프리미엄)</t>
        </is>
      </c>
    </row>
    <row r="41">
      <c r="A41" s="17" t="inlineStr">
        <is>
          <t>🎉 혜택가 (최종 월요금)</t>
        </is>
      </c>
      <c r="B41" s="26">
        <f>IF(B7="결합없음",B27,B39-(B31+B33+B35+B37))</f>
        <v/>
      </c>
    </row>
    <row r="43">
      <c r="A43" s="15" t="inlineStr">
        <is>
          <t>🎁 부가</t>
        </is>
      </c>
    </row>
    <row r="44">
      <c r="A44" s="7" t="inlineStr">
        <is>
          <t xml:space="preserve">  설치비</t>
        </is>
      </c>
      <c r="B44" s="16">
        <f>IF(B15=0,36000,56200)</f>
        <v/>
      </c>
      <c r="C44" s="14" t="inlineStr">
        <is>
          <t>→ 06_Install</t>
        </is>
      </c>
    </row>
    <row r="45">
      <c r="A45" s="7" t="inlineStr">
        <is>
          <t xml:space="preserve">  사은품</t>
        </is>
      </c>
      <c r="B45" s="16">
        <f>IF(B15=0,IF(B4="100M",90000,140000),CHOOSE(MATCH(B4,{"100M","500M","1G"},0),370000,450000,450000))</f>
        <v/>
      </c>
      <c r="C45" s="14" t="inlineStr">
        <is>
          <t>→ 07_Gift</t>
        </is>
      </c>
    </row>
  </sheetData>
  <mergeCells count="35">
    <mergeCell ref="C44:E44"/>
    <mergeCell ref="C31:E31"/>
    <mergeCell ref="C22:E22"/>
    <mergeCell ref="C40:E40"/>
    <mergeCell ref="C9:E9"/>
    <mergeCell ref="A1:E1"/>
    <mergeCell ref="C21:E21"/>
    <mergeCell ref="C36:E36"/>
    <mergeCell ref="C11:E11"/>
    <mergeCell ref="C27:E27"/>
    <mergeCell ref="C23:E23"/>
    <mergeCell ref="C39:E39"/>
    <mergeCell ref="C8:E8"/>
    <mergeCell ref="C7:E7"/>
    <mergeCell ref="C32:E32"/>
    <mergeCell ref="A3:E3"/>
    <mergeCell ref="A26:E26"/>
    <mergeCell ref="C19:E19"/>
    <mergeCell ref="C37:E37"/>
    <mergeCell ref="C18:E18"/>
    <mergeCell ref="C30:E30"/>
    <mergeCell ref="C34:E34"/>
    <mergeCell ref="C15:E15"/>
    <mergeCell ref="C6:E6"/>
    <mergeCell ref="C24:E24"/>
    <mergeCell ref="A29:E29"/>
    <mergeCell ref="C14:E14"/>
    <mergeCell ref="C33:E33"/>
    <mergeCell ref="C5:E5"/>
    <mergeCell ref="C45:E45"/>
    <mergeCell ref="C4:E4"/>
    <mergeCell ref="A13:E13"/>
    <mergeCell ref="C35:E35"/>
    <mergeCell ref="C20:E20"/>
    <mergeCell ref="C10:E10"/>
  </mergeCells>
  <dataValidations count="8">
    <dataValidation sqref="B4" showDropDown="0" showInputMessage="0" showErrorMessage="0" allowBlank="0" type="list">
      <formula1>"100M,500M,1G"</formula1>
    </dataValidation>
    <dataValidation sqref="B5" showDropDown="0" showInputMessage="0" showErrorMessage="0" allowBlank="0" type="list">
      <formula1>"TV 없음,지니TV 베이직,지니TV 라이트,지니TV 에센스,지니TV 모든G,지니TV 디즈니+모든G"</formula1>
    </dataValidation>
    <dataValidation sqref="B6" showDropDown="0" showInputMessage="0" showErrorMessage="0" allowBlank="0" type="list">
      <formula1>"Y,N"</formula1>
    </dataValidation>
    <dataValidation sqref="B7" showDropDown="0" showInputMessage="0" showErrorMessage="0" allowBlank="0" type="list">
      <formula1>"결합없음,총액결합,정액결합,💎 프리미엄 가족결합"</formula1>
    </dataValidation>
    <dataValidation sqref="B8" showDropDown="0" showInputMessage="0" showErrorMessage="0" allowBlank="0" type="list">
      <formula1>"1,2,3,4,5,6"</formula1>
    </dataValidation>
    <dataValidation sqref="B9" showDropDown="0" showInputMessage="0" showErrorMessage="0" allowBlank="0" type="list">
      <formula1>"1,2,3,4"</formula1>
    </dataValidation>
    <dataValidation sqref="B10" showDropDown="0" showInputMessage="0" showErrorMessage="0" allowBlank="0" type="list">
      <formula1>"77,000원,80,000원,87,890원,89,000원,90,000원,100,000원,109,000원,110,000원,130,000원"</formula1>
    </dataValidation>
    <dataValidation sqref="B11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20" customWidth="1" min="4" max="4"/>
    <col width="15" customWidth="1" min="5" max="5"/>
  </cols>
  <sheetData>
    <row r="1" ht="36" customHeight="1">
      <c r="A1" s="27" t="inlineStr">
        <is>
          <t>🧮 LG U+ 참쉬운/투게더 결합 계산기</t>
        </is>
      </c>
    </row>
    <row r="3">
      <c r="A3" s="9" t="inlineStr">
        <is>
          <t>📝 입력</t>
        </is>
      </c>
    </row>
    <row r="4">
      <c r="A4" s="10" t="inlineStr">
        <is>
          <t>속도</t>
        </is>
      </c>
      <c r="B4" s="11" t="inlineStr">
        <is>
          <t>500M</t>
        </is>
      </c>
      <c r="C4" s="12" t="inlineStr">
        <is>
          <t>100M / 500M / 1G</t>
        </is>
      </c>
    </row>
    <row r="5">
      <c r="A5" s="10" t="inlineStr">
        <is>
          <t>TV 상품</t>
        </is>
      </c>
      <c r="B5" s="11" t="inlineStr">
        <is>
          <t>U+tv 기본형</t>
        </is>
      </c>
      <c r="C5" s="12" t="inlineStr">
        <is>
          <t>LG U+tv 4종</t>
        </is>
      </c>
    </row>
    <row r="6">
      <c r="A6" s="10" t="inlineStr">
        <is>
          <t>결합 종류</t>
        </is>
      </c>
      <c r="B6" s="11" t="inlineStr">
        <is>
          <t>참쉬운 가족결합</t>
        </is>
      </c>
      <c r="C6" s="12" t="inlineStr">
        <is>
          <t>결합없음/참쉬운/투게더</t>
        </is>
      </c>
    </row>
    <row r="7">
      <c r="A7" s="10" t="inlineStr">
        <is>
          <t>요금구간 (참쉬운, 1~3)</t>
        </is>
      </c>
      <c r="B7" s="11" t="n">
        <v>2</v>
      </c>
      <c r="C7" s="12" t="inlineStr">
        <is>
          <t>1=69K미만, 2=69K+, 3=88K+</t>
        </is>
      </c>
    </row>
    <row r="8">
      <c r="A8" s="10" t="inlineStr">
        <is>
          <t>결합 회선수</t>
        </is>
      </c>
      <c r="B8" s="11" t="n">
        <v>2</v>
      </c>
      <c r="C8" s="12" t="inlineStr">
        <is>
          <t>참쉬운 2~4+ / 투게더 2~5</t>
        </is>
      </c>
    </row>
    <row r="10">
      <c r="A10" s="9" t="inlineStr">
        <is>
          <t>🧮 자동 계산</t>
        </is>
      </c>
    </row>
    <row r="11">
      <c r="A11" s="7" t="inlineStr">
        <is>
          <t>TV 인덱스 (내부 변환)</t>
        </is>
      </c>
      <c r="B11" s="13">
        <f>MATCH(B5,{"TV 없음","U+tv 실속형","U+tv 기본형","U+tv 프리미엄","U+tv 프리미엄 VOD"},0)</f>
        <v/>
      </c>
      <c r="C11" s="14" t="inlineStr">
        <is>
          <t>드롭다운 이름 → 배열 번호 (1=없음, 2~5=상품) · 수식 조회용</t>
        </is>
      </c>
    </row>
    <row r="12">
      <c r="A12" s="7" t="inlineStr">
        <is>
          <t>TV 선택 여부 (내부 변환)</t>
        </is>
      </c>
      <c r="B12" s="13">
        <f>IF(B5="TV 없음",0,1)</f>
        <v/>
      </c>
      <c r="C12" s="14" t="inlineStr">
        <is>
          <t>0=TV 없음 / 1=TV 결합 · 수식 분기용</t>
        </is>
      </c>
    </row>
    <row r="14">
      <c r="A14" s="15" t="inlineStr">
        <is>
          <t>📊 데이터 조회</t>
        </is>
      </c>
    </row>
    <row r="15">
      <c r="A15" s="7" t="inlineStr">
        <is>
          <t>인터넷 단독가</t>
        </is>
      </c>
      <c r="B15" s="16">
        <f>IF(B4="100M",22000,IF(B4="500M",33000,38500))</f>
        <v/>
      </c>
      <c r="C15" s="14" t="inlineStr">
        <is>
          <t>→ 01_Internet</t>
        </is>
      </c>
    </row>
    <row r="16">
      <c r="A16" s="7" t="inlineStr">
        <is>
          <t>TV 가격 (p)</t>
        </is>
      </c>
      <c r="B16" s="16">
        <f>IF(B12=0,0,CHOOSE(B11-1,15400,16500,18700,24200))</f>
        <v/>
      </c>
      <c r="C16" s="14" t="inlineStr">
        <is>
          <t>→ 02_TV · LG U+tv</t>
        </is>
      </c>
    </row>
    <row r="17">
      <c r="A17" s="7" t="inlineStr">
        <is>
          <t>TV 결합할인 (dc)</t>
        </is>
      </c>
      <c r="B17" s="16">
        <f>IF(B12=0,0,CHOOSE(B11-1,2200,2200,2200,5500))</f>
        <v/>
      </c>
      <c r="C17" s="14" t="inlineStr">
        <is>
          <t>→ 02_TV · 전 상품 -2,200 (VOD만 -5,500)</t>
        </is>
      </c>
    </row>
    <row r="18">
      <c r="A18" s="7" t="inlineStr">
        <is>
          <t>WiFi 추가금</t>
        </is>
      </c>
      <c r="B18" s="16">
        <f>0</f>
        <v/>
      </c>
      <c r="C18" s="14" t="inlineStr">
        <is>
          <t>→ 05_WiFi · LG U+ 전속도 무료 (기가와이파이 기본)</t>
        </is>
      </c>
    </row>
    <row r="19">
      <c r="A19" s="7" t="inlineStr">
        <is>
          <t>셋톱박스 (U+tv UHD4)</t>
        </is>
      </c>
      <c r="B19" s="16">
        <f>4400</f>
        <v/>
      </c>
      <c r="C19" s="14" t="inlineStr">
        <is>
          <t>→ 04_SetTop · 기본 모델 · AI음향 기술</t>
        </is>
      </c>
    </row>
    <row r="21">
      <c r="A21" s="15" t="inlineStr">
        <is>
          <t>【경로 A】 결합없음</t>
        </is>
      </c>
    </row>
    <row r="22">
      <c r="A22" s="17" t="inlineStr">
        <is>
          <t xml:space="preserve">  월 기본요금</t>
        </is>
      </c>
      <c r="B22" s="28">
        <f>IF(B12=0,B15,IF(B4="100M",22000,IF(B4="500M",27500,33000))+B16-B17+B19)</f>
        <v/>
      </c>
      <c r="C22" s="14" t="inlineStr">
        <is>
          <t>TV 없으면 단독가 (WiFi 무료) / TV 있으면 tvInternet + (p-dc) + 셋톱</t>
        </is>
      </c>
    </row>
    <row r="24">
      <c r="A24" s="29" t="inlineStr">
        <is>
          <t>【경로 B】 결합 적용 (REPLACE — 단독가 기준)</t>
        </is>
      </c>
    </row>
    <row r="25">
      <c r="A25" s="7" t="inlineStr">
        <is>
          <t xml:space="preserve">  [참쉬운] 인터넷 할인</t>
        </is>
      </c>
      <c r="B25" s="16">
        <f>IF(B6="참쉬운 가족결합",IF(B4="100M",5500,IF(B4="500M",9900,13200)),0)</f>
        <v/>
      </c>
      <c r="C25" s="14" t="inlineStr">
        <is>
          <t>→ 14_LGU_Chweyswun · 단독가 REPLACE</t>
        </is>
      </c>
    </row>
    <row r="26">
      <c r="A26" s="7" t="inlineStr">
        <is>
          <t xml:space="preserve">  [참쉬운] 휴대폰 인당 할인</t>
        </is>
      </c>
      <c r="B26" s="16">
        <f>IF(B6="참쉬운 가족결합",CHOOSE(B7,CHOOSE(MIN(B8,4)-1,2200,3300,4400),CHOOSE(MIN(B8,4)-1,3300,5500,6600),CHOOSE(MIN(B8,4)-1,4400,6600,8800)),0)</f>
        <v/>
      </c>
      <c r="C26" s="14" t="inlineStr">
        <is>
          <t>→ 14_LGU_Chweyswun · 요금구간 × 회선수</t>
        </is>
      </c>
    </row>
    <row r="27">
      <c r="A27" s="7" t="inlineStr">
        <is>
          <t xml:space="preserve">  [참쉬운] 휴대폰 총 할인</t>
        </is>
      </c>
      <c r="B27" s="16">
        <f>B26*IF(B6="참쉬운 가족결합",MIN(B8,4),0)</f>
        <v/>
      </c>
      <c r="C27" s="14" t="inlineStr">
        <is>
          <t>인당 × min(회선수,4)</t>
        </is>
      </c>
    </row>
    <row r="28">
      <c r="A28" s="7" t="inlineStr">
        <is>
          <t xml:space="preserve">  [투게더] 인터넷 할인</t>
        </is>
      </c>
      <c r="B28" s="16">
        <f>IF(B6="투게더 결합",IF(B4="100M",0,11000),0)</f>
        <v/>
      </c>
      <c r="C28" s="14" t="inlineStr">
        <is>
          <t>→ 15_LGU_Together · 100M 결합불가 · 단독가 REPLACE</t>
        </is>
      </c>
    </row>
    <row r="29">
      <c r="A29" s="7" t="inlineStr">
        <is>
          <t xml:space="preserve">  [투게더] 휴대폰 인당 할인</t>
        </is>
      </c>
      <c r="B29" s="16">
        <f>IF(B6="투게더 결합",CHOOSE(MIN(B8,4)-1,10000,14000,20000),0)</f>
        <v/>
      </c>
      <c r="C29" s="14" t="inlineStr">
        <is>
          <t>→ 15_LGU_Together · 2/3/4+ 회선</t>
        </is>
      </c>
    </row>
    <row r="30">
      <c r="A30" s="7" t="inlineStr">
        <is>
          <t xml:space="preserve">  [투게더] 휴대폰 총 할인</t>
        </is>
      </c>
      <c r="B30" s="16">
        <f>B29*IF(B6="투게더 결합",MIN(B8,5),0)</f>
        <v/>
      </c>
      <c r="C30" s="14" t="inlineStr">
        <is>
          <t>인당 × 회선수</t>
        </is>
      </c>
    </row>
    <row r="32">
      <c r="A32" s="17" t="inlineStr">
        <is>
          <t xml:space="preserve">  = 인터넷+TV 월 실납부 (결합 적용)</t>
        </is>
      </c>
      <c r="B32" s="28">
        <f>(B15-B25-B28)+IF(B12=0,0,B16-B17+B19)</f>
        <v/>
      </c>
    </row>
    <row r="33">
      <c r="A33" s="7" t="inlineStr">
        <is>
          <t xml:space="preserve">  - 휴대폰 고지서 별도 차감</t>
        </is>
      </c>
      <c r="B33" s="30">
        <f>-(B27+B30)</f>
        <v/>
      </c>
    </row>
    <row r="34">
      <c r="A34" s="17" t="inlineStr">
        <is>
          <t>🎉 혜택가 (최종 월요금)</t>
        </is>
      </c>
      <c r="B34" s="31">
        <f>IF(B6="결합없음",B22,B32-(B27+B30))</f>
        <v/>
      </c>
    </row>
    <row r="36">
      <c r="A36" s="15" t="inlineStr">
        <is>
          <t>🎁 부가</t>
        </is>
      </c>
    </row>
    <row r="37">
      <c r="A37" s="7" t="inlineStr">
        <is>
          <t xml:space="preserve">  설치비</t>
        </is>
      </c>
      <c r="B37" s="16">
        <f>IF(B12=0,36300,56100)</f>
        <v/>
      </c>
      <c r="C37" s="14" t="inlineStr">
        <is>
          <t>→ 06_Install</t>
        </is>
      </c>
    </row>
    <row r="38">
      <c r="A38" s="7" t="inlineStr">
        <is>
          <t xml:space="preserve">  사은품</t>
        </is>
      </c>
      <c r="B38" s="16">
        <f>IF(B12=0,IF(B4="100M",200000,230000),CHOOSE(MATCH(B4,{"100M","500M","1G"},0),400000,470000,470000))</f>
        <v/>
      </c>
      <c r="C38" s="14" t="inlineStr">
        <is>
          <t>→ 07_Gift</t>
        </is>
      </c>
    </row>
  </sheetData>
  <mergeCells count="26">
    <mergeCell ref="C16:E16"/>
    <mergeCell ref="A24:E24"/>
    <mergeCell ref="C22:E22"/>
    <mergeCell ref="A1:E1"/>
    <mergeCell ref="C12:E12"/>
    <mergeCell ref="C11:E11"/>
    <mergeCell ref="C27:E27"/>
    <mergeCell ref="C8:E8"/>
    <mergeCell ref="C17:E17"/>
    <mergeCell ref="C7:E7"/>
    <mergeCell ref="A3:E3"/>
    <mergeCell ref="A21:E21"/>
    <mergeCell ref="C38:E38"/>
    <mergeCell ref="C28:E28"/>
    <mergeCell ref="C19:E19"/>
    <mergeCell ref="C37:E37"/>
    <mergeCell ref="C18:E18"/>
    <mergeCell ref="C30:E30"/>
    <mergeCell ref="C15:E15"/>
    <mergeCell ref="C6:E6"/>
    <mergeCell ref="C5:E5"/>
    <mergeCell ref="A10:E10"/>
    <mergeCell ref="C4:E4"/>
    <mergeCell ref="C26:E26"/>
    <mergeCell ref="C29:E29"/>
    <mergeCell ref="C25:E25"/>
  </mergeCells>
  <dataValidations count="5">
    <dataValidation sqref="B4" showDropDown="0" showInputMessage="0" showErrorMessage="0" allowBlank="0" type="list">
      <formula1>"100M,500M,1G"</formula1>
    </dataValidation>
    <dataValidation sqref="B5" showDropDown="0" showInputMessage="0" showErrorMessage="0" allowBlank="0" type="list">
      <formula1>"TV 없음,U+tv 실속형,U+tv 기본형,U+tv 프리미엄,U+tv 프리미엄 VOD"</formula1>
    </dataValidation>
    <dataValidation sqref="B6" showDropDown="0" showInputMessage="0" showErrorMessage="0" allowBlank="0" type="list">
      <formula1>"결합없음,참쉬운 가족결합,투게더 결합"</formula1>
    </dataValidation>
    <dataValidation sqref="B7" showDropDown="0" showInputMessage="0" showErrorMessage="0" allowBlank="0" type="list">
      <formula1>"1,2,3"</formula1>
    </dataValidation>
    <dataValidation sqref="B8" showDropDown="0" showInputMessage="0" showErrorMessage="0" allowBlank="0" type="list">
      <formula1>"2,3,4,5"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3" t="inlineStr">
        <is>
          <t>📡 인터넷 단독 요금</t>
        </is>
      </c>
    </row>
    <row r="3">
      <c r="A3" s="4" t="inlineStr">
        <is>
          <t>통신사</t>
        </is>
      </c>
      <c r="B3" s="4" t="inlineStr">
        <is>
          <t>프리픽스</t>
        </is>
      </c>
      <c r="C3" s="4" t="inlineStr">
        <is>
          <t>100M</t>
        </is>
      </c>
      <c r="D3" s="4" t="inlineStr">
        <is>
          <t>500M</t>
        </is>
      </c>
      <c r="E3" s="4" t="inlineStr">
        <is>
          <t>1G</t>
        </is>
      </c>
    </row>
    <row r="4">
      <c r="A4" s="5" t="inlineStr">
        <is>
          <t>SKT</t>
        </is>
      </c>
      <c r="B4" s="5" t="inlineStr">
        <is>
          <t>SK</t>
        </is>
      </c>
      <c r="C4" s="5" t="n">
        <v>22000</v>
      </c>
      <c r="D4" s="5" t="n">
        <v>33000</v>
      </c>
      <c r="E4" s="5" t="n">
        <v>38500</v>
      </c>
    </row>
    <row r="5">
      <c r="A5" s="5" t="inlineStr">
        <is>
          <t>KT</t>
        </is>
      </c>
      <c r="B5" s="5" t="inlineStr">
        <is>
          <t>KT</t>
        </is>
      </c>
      <c r="C5" s="5" t="n">
        <v>22000</v>
      </c>
      <c r="D5" s="5" t="n">
        <v>33000</v>
      </c>
      <c r="E5" s="5" t="n">
        <v>38500</v>
      </c>
    </row>
    <row r="6">
      <c r="A6" s="5" t="inlineStr">
        <is>
          <t>LG U+</t>
        </is>
      </c>
      <c r="B6" s="5" t="inlineStr">
        <is>
          <t>LG</t>
        </is>
      </c>
      <c r="C6" s="5" t="n">
        <v>22000</v>
      </c>
      <c r="D6" s="5" t="n">
        <v>33000</v>
      </c>
      <c r="E6" s="5" t="n">
        <v>38500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3" t="inlineStr">
        <is>
          <t>📺 TV 상품 (3사)</t>
        </is>
      </c>
    </row>
    <row r="3">
      <c r="A3" s="4" t="inlineStr">
        <is>
          <t>통신사</t>
        </is>
      </c>
      <c r="B3" s="4" t="inlineStr">
        <is>
          <t>TV 상품</t>
        </is>
      </c>
      <c r="C3" s="4" t="inlineStr">
        <is>
          <t>채널수</t>
        </is>
      </c>
      <c r="D3" s="4" t="inlineStr">
        <is>
          <t>단독가</t>
        </is>
      </c>
      <c r="E3" s="4" t="inlineStr">
        <is>
          <t>결합할인</t>
        </is>
      </c>
      <c r="F3" s="4" t="inlineStr">
        <is>
          <t>결합가</t>
        </is>
      </c>
    </row>
    <row r="4">
      <c r="A4" s="5" t="inlineStr">
        <is>
          <t>SKT</t>
        </is>
      </c>
      <c r="B4" s="5" t="inlineStr">
        <is>
          <t>B tv 이코노미</t>
        </is>
      </c>
      <c r="C4" s="5" t="n">
        <v>182</v>
      </c>
      <c r="D4" s="5" t="n">
        <v>12100</v>
      </c>
      <c r="E4" s="5" t="n">
        <v>2200</v>
      </c>
      <c r="F4" s="5" t="n">
        <v>9900</v>
      </c>
    </row>
    <row r="5">
      <c r="A5" s="5" t="inlineStr">
        <is>
          <t>SKT</t>
        </is>
      </c>
      <c r="B5" s="5" t="inlineStr">
        <is>
          <t>B tv 스탠다드</t>
        </is>
      </c>
      <c r="C5" s="5" t="n">
        <v>236</v>
      </c>
      <c r="D5" s="5" t="n">
        <v>15400</v>
      </c>
      <c r="E5" s="5" t="n">
        <v>2200</v>
      </c>
      <c r="F5" s="5" t="n">
        <v>13200</v>
      </c>
    </row>
    <row r="6">
      <c r="A6" s="5" t="inlineStr">
        <is>
          <t>SKT</t>
        </is>
      </c>
      <c r="B6" s="5" t="inlineStr">
        <is>
          <t>B tv 올</t>
        </is>
      </c>
      <c r="C6" s="5" t="n">
        <v>252</v>
      </c>
      <c r="D6" s="5" t="n">
        <v>18700</v>
      </c>
      <c r="E6" s="5" t="n">
        <v>2200</v>
      </c>
      <c r="F6" s="5" t="n">
        <v>16500</v>
      </c>
    </row>
    <row r="7">
      <c r="A7" s="5" t="inlineStr">
        <is>
          <t>SKT</t>
        </is>
      </c>
      <c r="B7" s="5" t="inlineStr">
        <is>
          <t>B tv 스탠다드 플러스</t>
        </is>
      </c>
      <c r="C7" s="5" t="n">
        <v>222</v>
      </c>
      <c r="D7" s="5" t="n">
        <v>23100</v>
      </c>
      <c r="E7" s="5" t="n">
        <v>2200</v>
      </c>
      <c r="F7" s="5" t="n">
        <v>20900</v>
      </c>
    </row>
    <row r="8">
      <c r="A8" s="5" t="inlineStr">
        <is>
          <t>SKT</t>
        </is>
      </c>
      <c r="B8" s="5" t="inlineStr">
        <is>
          <t>B tv 올 플러스</t>
        </is>
      </c>
      <c r="C8" s="5" t="n">
        <v>252</v>
      </c>
      <c r="D8" s="5" t="n">
        <v>24200</v>
      </c>
      <c r="E8" s="5" t="n">
        <v>2200</v>
      </c>
      <c r="F8" s="5" t="n">
        <v>22000</v>
      </c>
    </row>
    <row r="9">
      <c r="A9" s="5" t="inlineStr">
        <is>
          <t>SKT</t>
        </is>
      </c>
      <c r="B9" s="5" t="inlineStr">
        <is>
          <t>B tv 스탠다드 넷플릭스</t>
        </is>
      </c>
      <c r="C9" s="5" t="n">
        <v>222</v>
      </c>
      <c r="D9" s="5" t="n">
        <v>27700</v>
      </c>
      <c r="E9" s="5" t="n">
        <v>2200</v>
      </c>
      <c r="F9" s="5" t="n">
        <v>25500</v>
      </c>
    </row>
    <row r="10">
      <c r="A10" s="5" t="inlineStr">
        <is>
          <t>SKT</t>
        </is>
      </c>
      <c r="B10" s="5" t="inlineStr">
        <is>
          <t>B tv 올 넷플릭스</t>
        </is>
      </c>
      <c r="C10" s="5" t="n">
        <v>222</v>
      </c>
      <c r="D10" s="5" t="n">
        <v>30200</v>
      </c>
      <c r="E10" s="5" t="n">
        <v>2200</v>
      </c>
      <c r="F10" s="5" t="n">
        <v>28000</v>
      </c>
    </row>
    <row r="11">
      <c r="A11" s="5" t="inlineStr">
        <is>
          <t>SKT</t>
        </is>
      </c>
      <c r="B11" s="5" t="inlineStr">
        <is>
          <t>B tv 스탠다드 넷플릭스 프리미엄</t>
        </is>
      </c>
      <c r="C11" s="5" t="n">
        <v>252</v>
      </c>
      <c r="D11" s="5" t="n">
        <v>30700</v>
      </c>
      <c r="E11" s="5" t="n">
        <v>2200</v>
      </c>
      <c r="F11" s="5" t="n">
        <v>28500</v>
      </c>
    </row>
    <row r="12">
      <c r="A12" s="5" t="inlineStr">
        <is>
          <t>SKT</t>
        </is>
      </c>
      <c r="B12" s="5" t="inlineStr">
        <is>
          <t>B tv 올 넷플릭스 프리미엄</t>
        </is>
      </c>
      <c r="C12" s="5" t="n">
        <v>252</v>
      </c>
      <c r="D12" s="5" t="n">
        <v>33200</v>
      </c>
      <c r="E12" s="5" t="n">
        <v>2200</v>
      </c>
      <c r="F12" s="5" t="n">
        <v>31000</v>
      </c>
    </row>
    <row r="13">
      <c r="A13" s="5" t="inlineStr">
        <is>
          <t>KT</t>
        </is>
      </c>
      <c r="B13" s="5" t="inlineStr">
        <is>
          <t>지니TV 베이직</t>
        </is>
      </c>
      <c r="C13" s="5" t="n">
        <v>238</v>
      </c>
      <c r="D13" s="5" t="n">
        <v>14740</v>
      </c>
      <c r="E13" s="5" t="n">
        <v>2640</v>
      </c>
      <c r="F13" s="5" t="n">
        <v>12100</v>
      </c>
    </row>
    <row r="14">
      <c r="A14" s="5" t="inlineStr">
        <is>
          <t>KT</t>
        </is>
      </c>
      <c r="B14" s="5" t="inlineStr">
        <is>
          <t>지니TV 라이트</t>
        </is>
      </c>
      <c r="C14" s="5" t="n">
        <v>240</v>
      </c>
      <c r="D14" s="5" t="n">
        <v>15840</v>
      </c>
      <c r="E14" s="5" t="n">
        <v>2640</v>
      </c>
      <c r="F14" s="5" t="n">
        <v>13200</v>
      </c>
    </row>
    <row r="15">
      <c r="A15" s="5" t="inlineStr">
        <is>
          <t>KT</t>
        </is>
      </c>
      <c r="B15" s="5" t="inlineStr">
        <is>
          <t>지니TV 에센스</t>
        </is>
      </c>
      <c r="C15" s="5" t="n">
        <v>263</v>
      </c>
      <c r="D15" s="5" t="n">
        <v>20240</v>
      </c>
      <c r="E15" s="5" t="n">
        <v>3740</v>
      </c>
      <c r="F15" s="5" t="n">
        <v>16500</v>
      </c>
    </row>
    <row r="16">
      <c r="A16" s="5" t="inlineStr">
        <is>
          <t>KT</t>
        </is>
      </c>
      <c r="B16" s="5" t="inlineStr">
        <is>
          <t>지니TV 모든G</t>
        </is>
      </c>
      <c r="C16" s="5" t="n">
        <v>250</v>
      </c>
      <c r="D16" s="5" t="n">
        <v>21340</v>
      </c>
      <c r="E16" s="5" t="n">
        <v>4400</v>
      </c>
      <c r="F16" s="5" t="n">
        <v>16940</v>
      </c>
    </row>
    <row r="17">
      <c r="A17" s="5" t="inlineStr">
        <is>
          <t>KT</t>
        </is>
      </c>
      <c r="B17" s="5" t="inlineStr">
        <is>
          <t>지니TV 디즈니+모든G</t>
        </is>
      </c>
      <c r="C17" s="5" t="n">
        <v>250</v>
      </c>
      <c r="D17" s="5" t="n">
        <v>28100</v>
      </c>
      <c r="E17" s="5" t="n">
        <v>6600</v>
      </c>
      <c r="F17" s="5" t="n">
        <v>21500</v>
      </c>
    </row>
    <row r="18">
      <c r="A18" s="5" t="inlineStr">
        <is>
          <t>LG U+</t>
        </is>
      </c>
      <c r="B18" s="5" t="inlineStr">
        <is>
          <t>U+tv 실속형</t>
        </is>
      </c>
      <c r="C18" s="5" t="n">
        <v>217</v>
      </c>
      <c r="D18" s="5" t="n">
        <v>15400</v>
      </c>
      <c r="E18" s="5" t="n">
        <v>2200</v>
      </c>
      <c r="F18" s="5" t="n">
        <v>13200</v>
      </c>
    </row>
    <row r="19">
      <c r="A19" s="5" t="inlineStr">
        <is>
          <t>LG U+</t>
        </is>
      </c>
      <c r="B19" s="5" t="inlineStr">
        <is>
          <t>U+tv 기본형</t>
        </is>
      </c>
      <c r="C19" s="5" t="n">
        <v>223</v>
      </c>
      <c r="D19" s="5" t="n">
        <v>16500</v>
      </c>
      <c r="E19" s="5" t="n">
        <v>2200</v>
      </c>
      <c r="F19" s="5" t="n">
        <v>14300</v>
      </c>
    </row>
    <row r="20">
      <c r="A20" s="5" t="inlineStr">
        <is>
          <t>LG U+</t>
        </is>
      </c>
      <c r="B20" s="5" t="inlineStr">
        <is>
          <t>U+tv 프리미엄</t>
        </is>
      </c>
      <c r="C20" s="5" t="n">
        <v>252</v>
      </c>
      <c r="D20" s="5" t="n">
        <v>18700</v>
      </c>
      <c r="E20" s="5" t="n">
        <v>2200</v>
      </c>
      <c r="F20" s="5" t="n">
        <v>16500</v>
      </c>
    </row>
    <row r="21">
      <c r="A21" s="5" t="inlineStr">
        <is>
          <t>LG U+</t>
        </is>
      </c>
      <c r="B21" s="5" t="inlineStr">
        <is>
          <t>U+tv 프리미엄 VOD</t>
        </is>
      </c>
      <c r="C21" s="5" t="n">
        <v>257</v>
      </c>
      <c r="D21" s="5" t="n">
        <v>24200</v>
      </c>
      <c r="E21" s="5" t="n">
        <v>5500</v>
      </c>
      <c r="F21" s="5" t="n">
        <v>18700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3" t="inlineStr">
        <is>
          <t>🔗 TV 결합 시 인터넷 요금</t>
        </is>
      </c>
    </row>
    <row r="3">
      <c r="A3" s="4" t="inlineStr">
        <is>
          <t>통신사</t>
        </is>
      </c>
      <c r="B3" s="4" t="inlineStr">
        <is>
          <t>WiFi</t>
        </is>
      </c>
      <c r="C3" s="4" t="inlineStr">
        <is>
          <t>100M</t>
        </is>
      </c>
      <c r="D3" s="4" t="inlineStr">
        <is>
          <t>500M</t>
        </is>
      </c>
      <c r="E3" s="4" t="inlineStr">
        <is>
          <t>1G</t>
        </is>
      </c>
    </row>
    <row r="4">
      <c r="A4" s="5" t="inlineStr">
        <is>
          <t>SKT</t>
        </is>
      </c>
      <c r="B4" s="5" t="inlineStr">
        <is>
          <t>미포함</t>
        </is>
      </c>
      <c r="C4" s="5" t="n">
        <v>19800</v>
      </c>
      <c r="D4" s="5" t="n">
        <v>27500</v>
      </c>
      <c r="E4" s="5" t="n">
        <v>33000</v>
      </c>
    </row>
    <row r="5">
      <c r="A5" s="5" t="inlineStr">
        <is>
          <t>SKT</t>
        </is>
      </c>
      <c r="B5" s="5" t="inlineStr">
        <is>
          <t>포함</t>
        </is>
      </c>
      <c r="C5" s="5" t="n">
        <v>22000</v>
      </c>
      <c r="D5" s="5" t="n">
        <v>28600</v>
      </c>
      <c r="E5" s="5" t="n">
        <v>34100</v>
      </c>
    </row>
    <row r="6">
      <c r="A6" s="5" t="inlineStr">
        <is>
          <t>KT</t>
        </is>
      </c>
      <c r="B6" s="5" t="inlineStr">
        <is>
          <t>미포함</t>
        </is>
      </c>
      <c r="C6" s="5" t="n">
        <v>22000</v>
      </c>
      <c r="D6" s="5" t="n">
        <v>27500</v>
      </c>
      <c r="E6" s="5" t="n">
        <v>33000</v>
      </c>
    </row>
    <row r="7">
      <c r="A7" s="5" t="inlineStr">
        <is>
          <t>KT</t>
        </is>
      </c>
      <c r="B7" s="5" t="inlineStr">
        <is>
          <t>포함 (1G=동일)</t>
        </is>
      </c>
      <c r="C7" s="5" t="n">
        <v>23100</v>
      </c>
      <c r="D7" s="5" t="n">
        <v>28600</v>
      </c>
      <c r="E7" s="5" t="n">
        <v>33000</v>
      </c>
    </row>
    <row r="8">
      <c r="A8" s="5" t="inlineStr">
        <is>
          <t>LG U+</t>
        </is>
      </c>
      <c r="B8" s="5" t="inlineStr">
        <is>
          <t>공통</t>
        </is>
      </c>
      <c r="C8" s="5" t="n">
        <v>22000</v>
      </c>
      <c r="D8" s="5" t="n">
        <v>27500</v>
      </c>
      <c r="E8" s="5" t="n">
        <v>33000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2" customWidth="1" min="4" max="4"/>
    <col width="10" customWidth="1" min="5" max="5"/>
    <col width="10" customWidth="1" min="6" max="6"/>
    <col width="50" customWidth="1" min="7" max="7"/>
  </cols>
  <sheetData>
    <row r="1" ht="24" customHeight="1">
      <c r="A1" s="3" t="inlineStr">
        <is>
          <t>📦 셋톱박스</t>
        </is>
      </c>
    </row>
    <row r="3">
      <c r="A3" s="32" t="inlineStr">
        <is>
          <t>💬 기본값(isDefault): 매장 판매 1위 + 가격/기능 균형 · 가입 시 자동 설정 · 요금 계산 기본</t>
        </is>
      </c>
    </row>
    <row r="5">
      <c r="A5" s="4" t="inlineStr">
        <is>
          <t>통신사</t>
        </is>
      </c>
      <c r="B5" s="4" t="inlineStr">
        <is>
          <t>ID</t>
        </is>
      </c>
      <c r="C5" s="4" t="inlineStr">
        <is>
          <t>모델명</t>
        </is>
      </c>
      <c r="D5" s="4" t="inlineStr">
        <is>
          <t>월 임대료</t>
        </is>
      </c>
      <c r="E5" s="4" t="inlineStr">
        <is>
          <t>기본</t>
        </is>
      </c>
      <c r="F5" s="4" t="inlineStr">
        <is>
          <t>활성</t>
        </is>
      </c>
      <c r="G5" s="4" t="inlineStr">
        <is>
          <t>💬 설명</t>
        </is>
      </c>
    </row>
    <row r="6">
      <c r="A6" s="5" t="inlineStr">
        <is>
          <t>SKT</t>
        </is>
      </c>
      <c r="B6" s="5" t="inlineStr">
        <is>
          <t>smart3</t>
        </is>
      </c>
      <c r="C6" s="5" t="inlineStr">
        <is>
          <t>스마트3</t>
        </is>
      </c>
      <c r="D6" s="5" t="n">
        <v>4400</v>
      </c>
      <c r="E6" s="5" t="inlineStr">
        <is>
          <t>O</t>
        </is>
      </c>
      <c r="F6" s="5" t="inlineStr">
        <is>
          <t>O</t>
        </is>
      </c>
      <c r="G6" s="5" t="inlineStr">
        <is>
          <t>✅ 기본 · SKT 표준 · OTT 대부분 지원 · 매장 판매 1위</t>
        </is>
      </c>
    </row>
    <row r="7">
      <c r="A7" s="5" t="inlineStr">
        <is>
          <t>SKT</t>
        </is>
      </c>
      <c r="B7" s="5" t="inlineStr">
        <is>
          <t>smart3-mini</t>
        </is>
      </c>
      <c r="C7" s="5" t="inlineStr">
        <is>
          <t>스마트3 미니</t>
        </is>
      </c>
      <c r="D7" s="5" t="n">
        <v>4400</v>
      </c>
      <c r="E7" s="5" t="inlineStr">
        <is>
          <t>X</t>
        </is>
      </c>
      <c r="F7" s="5" t="inlineStr">
        <is>
          <t>O</t>
        </is>
      </c>
      <c r="G7" s="5" t="inlineStr">
        <is>
          <t>저가형 · 넷플릭스 미지원</t>
        </is>
      </c>
    </row>
    <row r="8">
      <c r="A8" s="5" t="inlineStr">
        <is>
          <t>SKT</t>
        </is>
      </c>
      <c r="B8" s="5" t="inlineStr">
        <is>
          <t>ai-nugu</t>
        </is>
      </c>
      <c r="C8" s="5" t="inlineStr">
        <is>
          <t>AI NUGU</t>
        </is>
      </c>
      <c r="D8" s="5" t="n">
        <v>6600</v>
      </c>
      <c r="E8" s="5" t="inlineStr">
        <is>
          <t>X</t>
        </is>
      </c>
      <c r="F8" s="5" t="inlineStr">
        <is>
          <t>O</t>
        </is>
      </c>
      <c r="G8" s="5" t="inlineStr">
        <is>
          <t>AI 음성인식 특화</t>
        </is>
      </c>
    </row>
    <row r="9">
      <c r="A9" s="5" t="inlineStr">
        <is>
          <t>SKT</t>
        </is>
      </c>
      <c r="B9" s="5" t="inlineStr">
        <is>
          <t>sound-max</t>
        </is>
      </c>
      <c r="C9" s="5" t="inlineStr">
        <is>
          <t>사운드 맥스</t>
        </is>
      </c>
      <c r="D9" s="5" t="n">
        <v>8800</v>
      </c>
      <c r="E9" s="5" t="inlineStr">
        <is>
          <t>X</t>
        </is>
      </c>
      <c r="F9" s="5" t="inlineStr">
        <is>
          <t>O</t>
        </is>
      </c>
      <c r="G9" s="5" t="inlineStr">
        <is>
          <t>사운드바 일체 · OTT 거의 불가</t>
        </is>
      </c>
    </row>
    <row r="10">
      <c r="A10" s="5" t="inlineStr">
        <is>
          <t>SKT</t>
        </is>
      </c>
      <c r="B10" s="5" t="inlineStr">
        <is>
          <t>apple-tv</t>
        </is>
      </c>
      <c r="C10" s="5" t="inlineStr">
        <is>
          <t>애플TV</t>
        </is>
      </c>
      <c r="D10" s="5" t="n">
        <v>6600</v>
      </c>
      <c r="E10" s="5" t="inlineStr">
        <is>
          <t>X</t>
        </is>
      </c>
      <c r="F10" s="5" t="inlineStr">
        <is>
          <t>O</t>
        </is>
      </c>
      <c r="G10" s="5" t="inlineStr">
        <is>
          <t>아이폰 연동</t>
        </is>
      </c>
    </row>
    <row r="11">
      <c r="A11" s="5" t="inlineStr">
        <is>
          <t>KT</t>
        </is>
      </c>
      <c r="B11" s="5" t="inlineStr">
        <is>
          <t>genie-3</t>
        </is>
      </c>
      <c r="C11" s="5" t="inlineStr">
        <is>
          <t>기가지니3</t>
        </is>
      </c>
      <c r="D11" s="5" t="n">
        <v>4400</v>
      </c>
      <c r="E11" s="5" t="inlineStr">
        <is>
          <t>O</t>
        </is>
      </c>
      <c r="F11" s="5" t="inlineStr">
        <is>
          <t>O</t>
        </is>
      </c>
      <c r="G11" s="5" t="inlineStr">
        <is>
          <t>✅ 기본 · KT 대표 · AI 블루투스 일체 · 선호 1위</t>
        </is>
      </c>
    </row>
    <row r="12">
      <c r="A12" s="5" t="inlineStr">
        <is>
          <t>KT</t>
        </is>
      </c>
      <c r="B12" s="5" t="inlineStr">
        <is>
          <t>genie-a</t>
        </is>
      </c>
      <c r="C12" s="5" t="inlineStr">
        <is>
          <t>기가지니A</t>
        </is>
      </c>
      <c r="D12" s="5" t="n">
        <v>3300</v>
      </c>
      <c r="E12" s="5" t="inlineStr">
        <is>
          <t>X</t>
        </is>
      </c>
      <c r="F12" s="5" t="inlineStr">
        <is>
          <t>O</t>
        </is>
      </c>
      <c r="G12" s="5" t="inlineStr">
        <is>
          <t>저가형 (3,300원)</t>
        </is>
      </c>
    </row>
    <row r="13">
      <c r="A13" s="5" t="inlineStr">
        <is>
          <t>KT</t>
        </is>
      </c>
      <c r="B13" s="5" t="inlineStr">
        <is>
          <t>soundbar</t>
        </is>
      </c>
      <c r="C13" s="5" t="inlineStr">
        <is>
          <t>지니TV 올인원 사운드바</t>
        </is>
      </c>
      <c r="D13" s="5" t="n">
        <v>8800</v>
      </c>
      <c r="E13" s="5" t="inlineStr">
        <is>
          <t>X</t>
        </is>
      </c>
      <c r="F13" s="5" t="inlineStr">
        <is>
          <t>O</t>
        </is>
      </c>
      <c r="G13" s="5" t="inlineStr">
        <is>
          <t>사운드바+공유기 일체</t>
        </is>
      </c>
    </row>
    <row r="14">
      <c r="A14" s="5" t="inlineStr">
        <is>
          <t>LG U+</t>
        </is>
      </c>
      <c r="B14" s="5" t="inlineStr">
        <is>
          <t>uhd4</t>
        </is>
      </c>
      <c r="C14" s="5" t="inlineStr">
        <is>
          <t>U+tv UHD4</t>
        </is>
      </c>
      <c r="D14" s="5" t="n">
        <v>4400</v>
      </c>
      <c r="E14" s="5" t="inlineStr">
        <is>
          <t>O</t>
        </is>
      </c>
      <c r="F14" s="5" t="inlineStr">
        <is>
          <t>O</t>
        </is>
      </c>
      <c r="G14" s="5" t="inlineStr">
        <is>
          <t>✅ 기본 · AI 음향기술</t>
        </is>
      </c>
    </row>
    <row r="15">
      <c r="A15" s="5" t="inlineStr">
        <is>
          <t>LG U+</t>
        </is>
      </c>
      <c r="B15" s="5" t="inlineStr">
        <is>
          <t>soundbar-black</t>
        </is>
      </c>
      <c r="C15" s="5" t="inlineStr">
        <is>
          <t>U+tv 사운드바 블랙</t>
        </is>
      </c>
      <c r="D15" s="5" t="n">
        <v>6600</v>
      </c>
      <c r="E15" s="5" t="inlineStr">
        <is>
          <t>X</t>
        </is>
      </c>
      <c r="F15" s="5" t="inlineStr">
        <is>
          <t>O</t>
        </is>
      </c>
      <c r="G15" s="5" t="inlineStr">
        <is>
          <t>돌비비전 지원</t>
        </is>
      </c>
    </row>
  </sheetData>
  <mergeCells count="1">
    <mergeCell ref="A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50" customWidth="1" min="9" max="9"/>
  </cols>
  <sheetData>
    <row r="1" ht="24" customHeight="1">
      <c r="A1" s="3" t="inlineStr">
        <is>
          <t>📡 WiFi</t>
        </is>
      </c>
    </row>
    <row r="3">
      <c r="A3" s="32" t="inlineStr">
        <is>
          <t>💬 기본값: 속도별 단가가 낮은 표준 모델 · 가입 시 자동 지급 · 요금 계산 대상</t>
        </is>
      </c>
    </row>
    <row r="5">
      <c r="A5" s="4" t="inlineStr">
        <is>
          <t>통신사</t>
        </is>
      </c>
      <c r="B5" s="4" t="inlineStr">
        <is>
          <t>ID</t>
        </is>
      </c>
      <c r="C5" s="4" t="inlineStr">
        <is>
          <t>모델명</t>
        </is>
      </c>
      <c r="D5" s="4" t="inlineStr">
        <is>
          <t>100M</t>
        </is>
      </c>
      <c r="E5" s="4" t="inlineStr">
        <is>
          <t>500M</t>
        </is>
      </c>
      <c r="F5" s="4" t="inlineStr">
        <is>
          <t>1G</t>
        </is>
      </c>
      <c r="G5" s="4" t="inlineStr">
        <is>
          <t>기본</t>
        </is>
      </c>
      <c r="H5" s="4" t="inlineStr">
        <is>
          <t>활성</t>
        </is>
      </c>
      <c r="I5" s="4" t="inlineStr">
        <is>
          <t>💬 설명</t>
        </is>
      </c>
    </row>
    <row r="6">
      <c r="A6" s="5" t="inlineStr">
        <is>
          <t>SKT</t>
        </is>
      </c>
      <c r="B6" s="5" t="inlineStr">
        <is>
          <t>giga-wifi</t>
        </is>
      </c>
      <c r="C6" s="5" t="inlineStr">
        <is>
          <t>GIGA WiFi</t>
        </is>
      </c>
      <c r="D6" s="5" t="n">
        <v>1100</v>
      </c>
      <c r="E6" s="5" t="n">
        <v>1100</v>
      </c>
      <c r="F6" s="5" t="n">
        <v>1100</v>
      </c>
      <c r="G6" s="5" t="inlineStr">
        <is>
          <t>O</t>
        </is>
      </c>
      <c r="H6" s="5" t="inlineStr">
        <is>
          <t>O</t>
        </is>
      </c>
      <c r="I6" s="5" t="inlineStr">
        <is>
          <t>✅ 기본 · SKT 표준 · 속도 균일 1,100원</t>
        </is>
      </c>
    </row>
    <row r="7">
      <c r="A7" s="5" t="inlineStr">
        <is>
          <t>SKT</t>
        </is>
      </c>
      <c r="B7" s="5" t="inlineStr">
        <is>
          <t>giga-wifi-6</t>
        </is>
      </c>
      <c r="C7" s="5" t="inlineStr">
        <is>
          <t>GIGA WiFi 6</t>
        </is>
      </c>
      <c r="D7" s="5" t="n">
        <v>1100</v>
      </c>
      <c r="E7" s="5" t="n">
        <v>1100</v>
      </c>
      <c r="F7" s="5" t="n">
        <v>1100</v>
      </c>
      <c r="G7" s="5" t="inlineStr">
        <is>
          <t>X</t>
        </is>
      </c>
      <c r="H7" s="5" t="inlineStr">
        <is>
          <t>O</t>
        </is>
      </c>
      <c r="I7" s="5" t="inlineStr">
        <is>
          <t>WiFi-6 · 같은 요금</t>
        </is>
      </c>
    </row>
    <row r="8">
      <c r="A8" s="5" t="inlineStr">
        <is>
          <t>SKT</t>
        </is>
      </c>
      <c r="B8" s="5" t="inlineStr">
        <is>
          <t>giga-wifi-prem</t>
        </is>
      </c>
      <c r="C8" s="5" t="inlineStr">
        <is>
          <t>GIGA WiFi 프리미엄</t>
        </is>
      </c>
      <c r="D8" s="5" t="n">
        <v>5500</v>
      </c>
      <c r="E8" s="5" t="n">
        <v>5500</v>
      </c>
      <c r="F8" s="5" t="n">
        <v>5500</v>
      </c>
      <c r="G8" s="5" t="inlineStr">
        <is>
          <t>X</t>
        </is>
      </c>
      <c r="H8" s="5" t="inlineStr">
        <is>
          <t>O</t>
        </is>
      </c>
      <c r="I8" s="5" t="inlineStr">
        <is>
          <t>최대 1.7Gbps · 고급형</t>
        </is>
      </c>
    </row>
    <row r="9">
      <c r="A9" s="5" t="inlineStr">
        <is>
          <t>SKT</t>
        </is>
      </c>
      <c r="B9" s="5" t="inlineStr">
        <is>
          <t>wings</t>
        </is>
      </c>
      <c r="C9" s="5" t="inlineStr">
        <is>
          <t>윙즈</t>
        </is>
      </c>
      <c r="D9" s="5" t="n">
        <v>1650</v>
      </c>
      <c r="E9" s="5" t="n">
        <v>1650</v>
      </c>
      <c r="F9" s="5" t="n">
        <v>1650</v>
      </c>
      <c r="G9" s="5" t="inlineStr">
        <is>
          <t>X</t>
        </is>
      </c>
      <c r="H9" s="5" t="inlineStr">
        <is>
          <t>O</t>
        </is>
      </c>
      <c r="I9" s="5" t="inlineStr">
        <is>
          <t>WiFi 증폭기</t>
        </is>
      </c>
    </row>
    <row r="10">
      <c r="A10" s="5" t="inlineStr">
        <is>
          <t>KT</t>
        </is>
      </c>
      <c r="B10" s="5" t="inlineStr">
        <is>
          <t>wave2</t>
        </is>
      </c>
      <c r="C10" s="5" t="inlineStr">
        <is>
          <t>KT GIGA WAVE2</t>
        </is>
      </c>
      <c r="D10" s="5" t="n">
        <v>1100</v>
      </c>
      <c r="E10" s="5" t="n">
        <v>1100</v>
      </c>
      <c r="F10" s="5" t="n">
        <v>0</v>
      </c>
      <c r="G10" s="5" t="inlineStr">
        <is>
          <t>O</t>
        </is>
      </c>
      <c r="H10" s="5" t="inlineStr">
        <is>
          <t>O</t>
        </is>
      </c>
      <c r="I10" s="5" t="inlineStr">
        <is>
          <t>✅ 기본 · KT 표준 · 1G 무료</t>
        </is>
      </c>
    </row>
    <row r="11">
      <c r="A11" s="5" t="inlineStr">
        <is>
          <t>KT</t>
        </is>
      </c>
      <c r="B11" s="5" t="inlineStr">
        <is>
          <t>home-ax</t>
        </is>
      </c>
      <c r="C11" s="5" t="inlineStr">
        <is>
          <t>GIGA WIFI 홈AX</t>
        </is>
      </c>
      <c r="D11" s="5" t="n">
        <v>0</v>
      </c>
      <c r="E11" s="5" t="n">
        <v>1100</v>
      </c>
      <c r="F11" s="5" t="n">
        <v>0</v>
      </c>
      <c r="G11" s="5" t="inlineStr">
        <is>
          <t>X</t>
        </is>
      </c>
      <c r="H11" s="5" t="inlineStr">
        <is>
          <t>O</t>
        </is>
      </c>
      <c r="I11" s="5" t="inlineStr">
        <is>
          <t>WiFi-6 · 100M/1G 무료</t>
        </is>
      </c>
    </row>
    <row r="12">
      <c r="A12" s="5" t="inlineStr">
        <is>
          <t>KT</t>
        </is>
      </c>
      <c r="B12" s="5" t="inlineStr">
        <is>
          <t>buddy</t>
        </is>
      </c>
      <c r="C12" s="5" t="inlineStr">
        <is>
          <t>GIGA WIFI BUDDY</t>
        </is>
      </c>
      <c r="D12" s="5" t="n">
        <v>1650</v>
      </c>
      <c r="E12" s="5" t="n">
        <v>1650</v>
      </c>
      <c r="F12" s="5" t="n">
        <v>1650</v>
      </c>
      <c r="G12" s="5" t="inlineStr">
        <is>
          <t>X</t>
        </is>
      </c>
      <c r="H12" s="5" t="inlineStr">
        <is>
          <t>O</t>
        </is>
      </c>
      <c r="I12" s="5" t="inlineStr">
        <is>
          <t>증폭기 (홈AX 호환)</t>
        </is>
      </c>
    </row>
    <row r="13">
      <c r="A13" s="5" t="inlineStr">
        <is>
          <t>KT</t>
        </is>
      </c>
      <c r="B13" s="5" t="inlineStr">
        <is>
          <t>prem-24</t>
        </is>
      </c>
      <c r="C13" s="5" t="inlineStr">
        <is>
          <t>GIGA WIFI 프리미엄 2.4</t>
        </is>
      </c>
      <c r="D13" s="5" t="n">
        <v>4400</v>
      </c>
      <c r="E13" s="5" t="n">
        <v>4400</v>
      </c>
      <c r="F13" s="5" t="n">
        <v>4400</v>
      </c>
      <c r="G13" s="5" t="inlineStr">
        <is>
          <t>X</t>
        </is>
      </c>
      <c r="H13" s="5" t="inlineStr">
        <is>
          <t>O</t>
        </is>
      </c>
      <c r="I13" s="5" t="inlineStr">
        <is>
          <t>고급형 10Gbps</t>
        </is>
      </c>
    </row>
    <row r="14">
      <c r="A14" s="5" t="inlineStr">
        <is>
          <t>KT</t>
        </is>
      </c>
      <c r="B14" s="5" t="inlineStr">
        <is>
          <t>prem-24-6e</t>
        </is>
      </c>
      <c r="C14" s="5" t="inlineStr">
        <is>
          <t>프리미엄 2.4 (6E)</t>
        </is>
      </c>
      <c r="D14" s="5" t="n">
        <v>4400</v>
      </c>
      <c r="E14" s="5" t="n">
        <v>4400</v>
      </c>
      <c r="F14" s="5" t="n">
        <v>4400</v>
      </c>
      <c r="G14" s="5" t="inlineStr">
        <is>
          <t>X</t>
        </is>
      </c>
      <c r="H14" s="5" t="inlineStr">
        <is>
          <t>O</t>
        </is>
      </c>
      <c r="I14" s="5" t="inlineStr">
        <is>
          <t>6E 지원</t>
        </is>
      </c>
    </row>
    <row r="15">
      <c r="A15" s="5" t="inlineStr">
        <is>
          <t>KT</t>
        </is>
      </c>
      <c r="B15" s="5" t="inlineStr">
        <is>
          <t>prem-48</t>
        </is>
      </c>
      <c r="C15" s="5" t="inlineStr">
        <is>
          <t>프리미엄 4.8</t>
        </is>
      </c>
      <c r="D15" s="5" t="n">
        <v>4400</v>
      </c>
      <c r="E15" s="5" t="n">
        <v>4400</v>
      </c>
      <c r="F15" s="5" t="n">
        <v>4400</v>
      </c>
      <c r="G15" s="5" t="inlineStr">
        <is>
          <t>X</t>
        </is>
      </c>
      <c r="H15" s="5" t="inlineStr">
        <is>
          <t>O</t>
        </is>
      </c>
      <c r="I15" s="5" t="inlineStr">
        <is>
          <t>4.8GHz 대역</t>
        </is>
      </c>
    </row>
    <row r="16">
      <c r="A16" s="5" t="inlineStr">
        <is>
          <t>LG U+</t>
        </is>
      </c>
      <c r="B16" s="5" t="inlineStr">
        <is>
          <t>giga-wifi</t>
        </is>
      </c>
      <c r="C16" s="5" t="inlineStr">
        <is>
          <t>기가와이파이</t>
        </is>
      </c>
      <c r="D16" s="5" t="n">
        <v>0</v>
      </c>
      <c r="E16" s="5" t="n">
        <v>0</v>
      </c>
      <c r="F16" s="5" t="n">
        <v>0</v>
      </c>
      <c r="G16" s="5" t="inlineStr">
        <is>
          <t>O</t>
        </is>
      </c>
      <c r="H16" s="5" t="inlineStr">
        <is>
          <t>O</t>
        </is>
      </c>
      <c r="I16" s="5" t="inlineStr">
        <is>
          <t>✅ 기본 · 전속도 무료</t>
        </is>
      </c>
    </row>
    <row r="17">
      <c r="A17" s="5" t="inlineStr">
        <is>
          <t>LG U+</t>
        </is>
      </c>
      <c r="B17" s="5" t="inlineStr">
        <is>
          <t>giga-wifi-6</t>
        </is>
      </c>
      <c r="C17" s="5" t="inlineStr">
        <is>
          <t>기가와이파이6</t>
        </is>
      </c>
      <c r="D17" s="5" t="n">
        <v>0</v>
      </c>
      <c r="E17" s="5" t="n">
        <v>0</v>
      </c>
      <c r="F17" s="5" t="n">
        <v>0</v>
      </c>
      <c r="G17" s="5" t="inlineStr">
        <is>
          <t>X</t>
        </is>
      </c>
      <c r="H17" s="5" t="inlineStr">
        <is>
          <t>O</t>
        </is>
      </c>
      <c r="I17" s="5" t="inlineStr">
        <is>
          <t>WiFi-6 · 동일 무료</t>
        </is>
      </c>
    </row>
    <row r="18">
      <c r="A18" s="5" t="inlineStr">
        <is>
          <t>LG U+</t>
        </is>
      </c>
      <c r="B18" s="5" t="inlineStr">
        <is>
          <t>giga-wifi-mesh</t>
        </is>
      </c>
      <c r="C18" s="5" t="inlineStr">
        <is>
          <t>기가와이파이 메쉬</t>
        </is>
      </c>
      <c r="D18" s="5" t="n">
        <v>0</v>
      </c>
      <c r="E18" s="5" t="n">
        <v>0</v>
      </c>
      <c r="F18" s="5" t="n">
        <v>0</v>
      </c>
      <c r="G18" s="5" t="inlineStr">
        <is>
          <t>X</t>
        </is>
      </c>
      <c r="H18" s="5" t="inlineStr">
        <is>
          <t>O</t>
        </is>
      </c>
      <c r="I18" s="5" t="inlineStr">
        <is>
          <t>메쉬 · 500M+ 선택</t>
        </is>
      </c>
    </row>
  </sheetData>
  <mergeCells count="1"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3" t="inlineStr">
        <is>
          <t>🔧 설치비</t>
        </is>
      </c>
    </row>
    <row r="3">
      <c r="A3" s="4" t="inlineStr">
        <is>
          <t>통신사</t>
        </is>
      </c>
      <c r="B3" s="4" t="inlineStr">
        <is>
          <t>단독</t>
        </is>
      </c>
      <c r="C3" s="4" t="inlineStr">
        <is>
          <t>결합</t>
        </is>
      </c>
      <c r="D3" s="4" t="inlineStr">
        <is>
          <t>비고</t>
        </is>
      </c>
    </row>
    <row r="4">
      <c r="A4" s="5" t="inlineStr">
        <is>
          <t>SKT</t>
        </is>
      </c>
      <c r="B4" s="5" t="n">
        <v>36300</v>
      </c>
      <c r="C4" s="5" t="n">
        <v>56100</v>
      </c>
      <c r="D4" s="5" t="inlineStr">
        <is>
          <t>주말 +25%</t>
        </is>
      </c>
    </row>
    <row r="5">
      <c r="A5" s="5" t="inlineStr">
        <is>
          <t>KT</t>
        </is>
      </c>
      <c r="B5" s="5" t="n">
        <v>36000</v>
      </c>
      <c r="C5" s="5" t="n">
        <v>56200</v>
      </c>
      <c r="D5" s="5" t="inlineStr">
        <is>
          <t>주말 +25%</t>
        </is>
      </c>
    </row>
    <row r="6">
      <c r="A6" s="5" t="inlineStr">
        <is>
          <t>LG U+</t>
        </is>
      </c>
      <c r="B6" s="5" t="n">
        <v>36300</v>
      </c>
      <c r="C6" s="5" t="n">
        <v>56100</v>
      </c>
      <c r="D6" s="5" t="inlineStr">
        <is>
          <t>주말 +25%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3" t="inlineStr">
        <is>
          <t>🎁 사은품</t>
        </is>
      </c>
    </row>
    <row r="3">
      <c r="A3" s="4" t="inlineStr">
        <is>
          <t>통신사</t>
        </is>
      </c>
      <c r="B3" s="4" t="inlineStr">
        <is>
          <t>구분</t>
        </is>
      </c>
      <c r="C3" s="4" t="inlineStr">
        <is>
          <t>100M</t>
        </is>
      </c>
      <c r="D3" s="4" t="inlineStr">
        <is>
          <t>500M</t>
        </is>
      </c>
      <c r="E3" s="4" t="inlineStr">
        <is>
          <t>1G</t>
        </is>
      </c>
    </row>
    <row r="4">
      <c r="A4" s="5" t="inlineStr">
        <is>
          <t>SKT</t>
        </is>
      </c>
      <c r="B4" s="5" t="inlineStr">
        <is>
          <t>solo</t>
        </is>
      </c>
      <c r="C4" s="5" t="n">
        <v>110000</v>
      </c>
      <c r="D4" s="5" t="n">
        <v>170000</v>
      </c>
      <c r="E4" s="5" t="n">
        <v>170000</v>
      </c>
    </row>
    <row r="5">
      <c r="A5" s="5" t="inlineStr">
        <is>
          <t>SKT</t>
        </is>
      </c>
      <c r="B5" s="5" t="inlineStr">
        <is>
          <t>combo</t>
        </is>
      </c>
      <c r="C5" s="5" t="n">
        <v>400000</v>
      </c>
      <c r="D5" s="5" t="n">
        <v>430000</v>
      </c>
      <c r="E5" s="5" t="n">
        <v>490000</v>
      </c>
    </row>
    <row r="6">
      <c r="A6" s="5" t="inlineStr">
        <is>
          <t>KT</t>
        </is>
      </c>
      <c r="B6" s="5" t="inlineStr">
        <is>
          <t>solo</t>
        </is>
      </c>
      <c r="C6" s="5" t="n">
        <v>90000</v>
      </c>
      <c r="D6" s="5" t="n">
        <v>140000</v>
      </c>
      <c r="E6" s="5" t="n">
        <v>140000</v>
      </c>
    </row>
    <row r="7">
      <c r="A7" s="5" t="inlineStr">
        <is>
          <t>KT</t>
        </is>
      </c>
      <c r="B7" s="5" t="inlineStr">
        <is>
          <t>combo</t>
        </is>
      </c>
      <c r="C7" s="5" t="n">
        <v>370000</v>
      </c>
      <c r="D7" s="5" t="n">
        <v>450000</v>
      </c>
      <c r="E7" s="5" t="n">
        <v>450000</v>
      </c>
    </row>
    <row r="8">
      <c r="A8" s="5" t="inlineStr">
        <is>
          <t>LG U+</t>
        </is>
      </c>
      <c r="B8" s="5" t="inlineStr">
        <is>
          <t>solo</t>
        </is>
      </c>
      <c r="C8" s="5" t="n">
        <v>200000</v>
      </c>
      <c r="D8" s="5" t="n">
        <v>230000</v>
      </c>
      <c r="E8" s="5" t="n">
        <v>230000</v>
      </c>
    </row>
    <row r="9">
      <c r="A9" s="5" t="inlineStr">
        <is>
          <t>LG U+</t>
        </is>
      </c>
      <c r="B9" s="5" t="inlineStr">
        <is>
          <t>combo</t>
        </is>
      </c>
      <c r="C9" s="5" t="n">
        <v>400000</v>
      </c>
      <c r="D9" s="5" t="n">
        <v>470000</v>
      </c>
      <c r="E9" s="5" t="n">
        <v>470000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4" customWidth="1" min="4" max="4"/>
    <col width="30" customWidth="1" min="5" max="5"/>
  </cols>
  <sheetData>
    <row r="1" ht="24" customHeight="1">
      <c r="A1" s="3" t="inlineStr">
        <is>
          <t>💳 제휴카드 (26종)</t>
        </is>
      </c>
    </row>
    <row r="3">
      <c r="A3" s="4" t="inlineStr">
        <is>
          <t>통신사</t>
        </is>
      </c>
      <c r="B3" s="4" t="inlineStr">
        <is>
          <t>카드사</t>
        </is>
      </c>
      <c r="C3" s="4" t="inlineStr">
        <is>
          <t>카드명</t>
        </is>
      </c>
      <c r="D3" s="4" t="inlineStr">
        <is>
          <t>실적</t>
        </is>
      </c>
      <c r="E3" s="4" t="inlineStr">
        <is>
          <t>할인</t>
        </is>
      </c>
    </row>
    <row r="4">
      <c r="A4" s="5" t="inlineStr">
        <is>
          <t>SKT</t>
        </is>
      </c>
      <c r="B4" s="5" t="inlineStr">
        <is>
          <t>롯데카드</t>
        </is>
      </c>
      <c r="C4" s="5" t="inlineStr">
        <is>
          <t>SK브로드밴드 B롯데카드</t>
        </is>
      </c>
      <c r="D4" s="5" t="inlineStr">
        <is>
          <t>50만</t>
        </is>
      </c>
      <c r="E4" s="5" t="inlineStr">
        <is>
          <t>-10,000원</t>
        </is>
      </c>
    </row>
    <row r="5">
      <c r="A5" s="5" t="inlineStr">
        <is>
          <t>SKT</t>
        </is>
      </c>
      <c r="B5" s="5" t="inlineStr">
        <is>
          <t>삼성카드</t>
        </is>
      </c>
      <c r="C5" s="5" t="inlineStr">
        <is>
          <t>SK브로드밴드 삼성카드</t>
        </is>
      </c>
      <c r="D5" s="5" t="inlineStr">
        <is>
          <t>30만</t>
        </is>
      </c>
      <c r="E5" s="5" t="inlineStr">
        <is>
          <t>-7,000원</t>
        </is>
      </c>
    </row>
    <row r="6">
      <c r="A6" s="5" t="inlineStr">
        <is>
          <t>KT</t>
        </is>
      </c>
      <c r="B6" s="5" t="inlineStr">
        <is>
          <t>KB국민</t>
        </is>
      </c>
      <c r="C6" s="5" t="inlineStr">
        <is>
          <t>KT DC Plus 국민카드</t>
        </is>
      </c>
      <c r="D6" s="5" t="inlineStr">
        <is>
          <t>30만</t>
        </is>
      </c>
      <c r="E6" s="5" t="inlineStr">
        <is>
          <t>-7,000원</t>
        </is>
      </c>
    </row>
    <row r="7">
      <c r="A7" s="5" t="inlineStr">
        <is>
          <t>KT</t>
        </is>
      </c>
      <c r="B7" s="5" t="inlineStr">
        <is>
          <t>현대</t>
        </is>
      </c>
      <c r="C7" s="5" t="inlineStr">
        <is>
          <t>KT-현대카드M Edition3</t>
        </is>
      </c>
      <c r="D7" s="5" t="inlineStr">
        <is>
          <t>30만</t>
        </is>
      </c>
      <c r="E7" s="5" t="inlineStr">
        <is>
          <t>-13,000원</t>
        </is>
      </c>
    </row>
    <row r="8">
      <c r="A8" s="5" t="inlineStr">
        <is>
          <t>KT</t>
        </is>
      </c>
      <c r="B8" s="5" t="inlineStr">
        <is>
          <t>현대</t>
        </is>
      </c>
      <c r="C8" s="5" t="inlineStr">
        <is>
          <t>KT-현대카드M Edition3 (2.0)</t>
        </is>
      </c>
      <c r="D8" s="5" t="inlineStr">
        <is>
          <t>100만</t>
        </is>
      </c>
      <c r="E8" s="5" t="inlineStr">
        <is>
          <t>-22,000원</t>
        </is>
      </c>
    </row>
    <row r="9">
      <c r="A9" s="5" t="inlineStr">
        <is>
          <t>KT</t>
        </is>
      </c>
      <c r="B9" s="5" t="inlineStr">
        <is>
          <t>신한</t>
        </is>
      </c>
      <c r="C9" s="5" t="inlineStr">
        <is>
          <t>KT 신한 체크카드</t>
        </is>
      </c>
      <c r="D9" s="5" t="inlineStr">
        <is>
          <t>30만</t>
        </is>
      </c>
      <c r="E9" s="5" t="inlineStr">
        <is>
          <t>3,000원 캐시백</t>
        </is>
      </c>
    </row>
    <row r="10">
      <c r="A10" s="5" t="inlineStr">
        <is>
          <t>KT</t>
        </is>
      </c>
      <c r="B10" s="5" t="inlineStr">
        <is>
          <t>신한</t>
        </is>
      </c>
      <c r="C10" s="5" t="inlineStr">
        <is>
          <t>KT 가족만족 DC 신한카드</t>
        </is>
      </c>
      <c r="D10" s="5" t="inlineStr">
        <is>
          <t>30만</t>
        </is>
      </c>
      <c r="E10" s="5" t="inlineStr">
        <is>
          <t>-7,000원</t>
        </is>
      </c>
    </row>
    <row r="11">
      <c r="A11" s="5" t="inlineStr">
        <is>
          <t>KT</t>
        </is>
      </c>
      <c r="B11" s="5" t="inlineStr">
        <is>
          <t>신한</t>
        </is>
      </c>
      <c r="C11" s="5" t="inlineStr">
        <is>
          <t>KT 으랏차차 신한카드</t>
        </is>
      </c>
      <c r="D11" s="5" t="inlineStr">
        <is>
          <t>50만</t>
        </is>
      </c>
      <c r="E11" s="5" t="inlineStr">
        <is>
          <t>-12,000원</t>
        </is>
      </c>
    </row>
    <row r="12">
      <c r="A12" s="5" t="inlineStr">
        <is>
          <t>KT</t>
        </is>
      </c>
      <c r="B12" s="5" t="inlineStr">
        <is>
          <t>IBK</t>
        </is>
      </c>
      <c r="C12" s="5" t="inlineStr">
        <is>
          <t>olleh super DC IBK카드</t>
        </is>
      </c>
      <c r="D12" s="5" t="inlineStr">
        <is>
          <t>30만</t>
        </is>
      </c>
      <c r="E12" s="5" t="inlineStr">
        <is>
          <t>-7,000원</t>
        </is>
      </c>
    </row>
    <row r="13">
      <c r="A13" s="5" t="inlineStr">
        <is>
          <t>KT</t>
        </is>
      </c>
      <c r="B13" s="5" t="inlineStr">
        <is>
          <t>IBK</t>
        </is>
      </c>
      <c r="C13" s="5" t="inlineStr">
        <is>
          <t>KT 으랏차차 IBK카드</t>
        </is>
      </c>
      <c r="D13" s="5" t="inlineStr">
        <is>
          <t>자동납부</t>
        </is>
      </c>
      <c r="E13" s="5" t="inlineStr">
        <is>
          <t>5% 청구할인</t>
        </is>
      </c>
    </row>
    <row r="14">
      <c r="A14" s="5" t="inlineStr">
        <is>
          <t>KT</t>
        </is>
      </c>
      <c r="B14" s="5" t="inlineStr">
        <is>
          <t>삼성</t>
        </is>
      </c>
      <c r="C14" s="5" t="inlineStr">
        <is>
          <t>KT 삼성카드</t>
        </is>
      </c>
      <c r="D14" s="5" t="inlineStr">
        <is>
          <t>30만</t>
        </is>
      </c>
      <c r="E14" s="5" t="inlineStr">
        <is>
          <t>-7,000원</t>
        </is>
      </c>
    </row>
    <row r="15">
      <c r="A15" s="5" t="inlineStr">
        <is>
          <t>KT</t>
        </is>
      </c>
      <c r="B15" s="5" t="inlineStr">
        <is>
          <t>우리</t>
        </is>
      </c>
      <c r="C15" s="5" t="inlineStr">
        <is>
          <t>KT Plus 우리카드</t>
        </is>
      </c>
      <c r="D15" s="5" t="inlineStr">
        <is>
          <t>40만</t>
        </is>
      </c>
      <c r="E15" s="5" t="inlineStr">
        <is>
          <t>-10,000원</t>
        </is>
      </c>
    </row>
    <row r="16">
      <c r="A16" s="5" t="inlineStr">
        <is>
          <t>KT</t>
        </is>
      </c>
      <c r="B16" s="5" t="inlineStr">
        <is>
          <t>우리</t>
        </is>
      </c>
      <c r="C16" s="5" t="inlineStr">
        <is>
          <t>KT 36 Plus 우리카드</t>
        </is>
      </c>
      <c r="D16" s="5" t="inlineStr">
        <is>
          <t>40만</t>
        </is>
      </c>
      <c r="E16" s="5" t="inlineStr">
        <is>
          <t>-8,000원</t>
        </is>
      </c>
    </row>
    <row r="17">
      <c r="A17" s="5" t="inlineStr">
        <is>
          <t>KT</t>
        </is>
      </c>
      <c r="B17" s="5" t="inlineStr">
        <is>
          <t>하나</t>
        </is>
      </c>
      <c r="C17" s="5" t="inlineStr">
        <is>
          <t>KT DC Plus 더 심플 하나카드</t>
        </is>
      </c>
      <c r="D17" s="5" t="inlineStr">
        <is>
          <t>30만</t>
        </is>
      </c>
      <c r="E17" s="5" t="inlineStr">
        <is>
          <t>-10,000원</t>
        </is>
      </c>
    </row>
    <row r="18">
      <c r="A18" s="5" t="inlineStr">
        <is>
          <t>KT</t>
        </is>
      </c>
      <c r="B18" s="5" t="inlineStr">
        <is>
          <t>NH농협</t>
        </is>
      </c>
      <c r="C18" s="5" t="inlineStr">
        <is>
          <t>KT 할부 Plus NH농협카드</t>
        </is>
      </c>
      <c r="D18" s="5" t="inlineStr">
        <is>
          <t>40만</t>
        </is>
      </c>
      <c r="E18" s="5" t="inlineStr">
        <is>
          <t>-5,000원</t>
        </is>
      </c>
    </row>
    <row r="19">
      <c r="A19" s="5" t="inlineStr">
        <is>
          <t>KT</t>
        </is>
      </c>
      <c r="B19" s="5" t="inlineStr">
        <is>
          <t>롯데</t>
        </is>
      </c>
      <c r="C19" s="5" t="inlineStr">
        <is>
          <t>KT DC Plus 롯데카드</t>
        </is>
      </c>
      <c r="D19" s="5" t="inlineStr">
        <is>
          <t>40만</t>
        </is>
      </c>
      <c r="E19" s="5" t="inlineStr">
        <is>
          <t>-10,000원</t>
        </is>
      </c>
    </row>
    <row r="20">
      <c r="A20" s="5" t="inlineStr">
        <is>
          <t>KT</t>
        </is>
      </c>
      <c r="B20" s="5" t="inlineStr">
        <is>
          <t>비씨</t>
        </is>
      </c>
      <c r="C20" s="5" t="inlineStr">
        <is>
          <t>KT SUPER DC BC 바로카드</t>
        </is>
      </c>
      <c r="D20" s="5" t="inlineStr">
        <is>
          <t>40만</t>
        </is>
      </c>
      <c r="E20" s="5" t="inlineStr">
        <is>
          <t>-5,000원</t>
        </is>
      </c>
    </row>
    <row r="21">
      <c r="A21" s="5" t="inlineStr">
        <is>
          <t>KT</t>
        </is>
      </c>
      <c r="B21" s="5" t="inlineStr">
        <is>
          <t>비씨</t>
        </is>
      </c>
      <c r="C21" s="5" t="inlineStr">
        <is>
          <t>KT DC Plus BC 바로카드</t>
        </is>
      </c>
      <c r="D21" s="5" t="inlineStr">
        <is>
          <t>30만</t>
        </is>
      </c>
      <c r="E21" s="5" t="inlineStr">
        <is>
          <t>-7,000원</t>
        </is>
      </c>
    </row>
    <row r="22">
      <c r="A22" s="5" t="inlineStr">
        <is>
          <t>KT</t>
        </is>
      </c>
      <c r="B22" s="5" t="inlineStr">
        <is>
          <t>케이뱅크</t>
        </is>
      </c>
      <c r="C22" s="5" t="inlineStr">
        <is>
          <t>KT멤버십x케이뱅크</t>
        </is>
      </c>
      <c r="D22" s="5" t="inlineStr">
        <is>
          <t>20만</t>
        </is>
      </c>
      <c r="E22" s="5" t="inlineStr">
        <is>
          <t>5% 캐시백</t>
        </is>
      </c>
    </row>
    <row r="23">
      <c r="A23" s="5" t="inlineStr">
        <is>
          <t>LG U+</t>
        </is>
      </c>
      <c r="B23" s="5" t="inlineStr">
        <is>
          <t>삼성카드</t>
        </is>
      </c>
      <c r="C23" s="5" t="inlineStr">
        <is>
          <t>LG U+ 삼성카드</t>
        </is>
      </c>
      <c r="D23" s="5" t="inlineStr">
        <is>
          <t>30만</t>
        </is>
      </c>
      <c r="E23" s="5" t="inlineStr">
        <is>
          <t>-7,000원</t>
        </is>
      </c>
    </row>
    <row r="24">
      <c r="A24" s="5" t="inlineStr">
        <is>
          <t>LG U+</t>
        </is>
      </c>
      <c r="B24" s="5" t="inlineStr">
        <is>
          <t>현대카드</t>
        </is>
      </c>
      <c r="C24" s="5" t="inlineStr">
        <is>
          <t>LG U+ 현대카드M Edition3</t>
        </is>
      </c>
      <c r="D24" s="5" t="inlineStr">
        <is>
          <t>50만</t>
        </is>
      </c>
      <c r="E24" s="5" t="inlineStr">
        <is>
          <t>-15,000원</t>
        </is>
      </c>
    </row>
    <row r="25">
      <c r="A25" s="5" t="inlineStr">
        <is>
          <t>LG U+</t>
        </is>
      </c>
      <c r="B25" s="5" t="inlineStr">
        <is>
          <t>하나카드</t>
        </is>
      </c>
      <c r="C25" s="5" t="inlineStr">
        <is>
          <t>더 심플 하나카드</t>
        </is>
      </c>
      <c r="D25" s="5" t="inlineStr">
        <is>
          <t>30만</t>
        </is>
      </c>
      <c r="E25" s="5" t="inlineStr">
        <is>
          <t>-10,000원</t>
        </is>
      </c>
    </row>
    <row r="26">
      <c r="A26" s="5" t="inlineStr">
        <is>
          <t>LG U+</t>
        </is>
      </c>
      <c r="B26" s="5" t="inlineStr">
        <is>
          <t>하나카드</t>
        </is>
      </c>
      <c r="C26" s="5" t="inlineStr">
        <is>
          <t>LG U+Family 하나카드</t>
        </is>
      </c>
      <c r="D26" s="5" t="inlineStr">
        <is>
          <t>30만</t>
        </is>
      </c>
      <c r="E26" s="5" t="inlineStr">
        <is>
          <t>통신료 25%</t>
        </is>
      </c>
    </row>
    <row r="27">
      <c r="A27" s="5" t="inlineStr">
        <is>
          <t>LG U+</t>
        </is>
      </c>
      <c r="B27" s="5" t="inlineStr">
        <is>
          <t>신한카드</t>
        </is>
      </c>
      <c r="C27" s="5" t="inlineStr">
        <is>
          <t>LG U+ 사장님 통할인</t>
        </is>
      </c>
      <c r="D27" s="5" t="inlineStr">
        <is>
          <t>70만</t>
        </is>
      </c>
      <c r="E27" s="5" t="inlineStr">
        <is>
          <t>-10,000원</t>
        </is>
      </c>
    </row>
    <row r="28">
      <c r="A28" s="5" t="inlineStr">
        <is>
          <t>LG U+</t>
        </is>
      </c>
      <c r="B28" s="5" t="inlineStr">
        <is>
          <t>롯데카드</t>
        </is>
      </c>
      <c r="C28" s="5" t="inlineStr">
        <is>
          <t>LG U+ x LOCA</t>
        </is>
      </c>
      <c r="D28" s="5" t="inlineStr">
        <is>
          <t>30만</t>
        </is>
      </c>
      <c r="E28" s="5" t="inlineStr">
        <is>
          <t>-10,000원</t>
        </is>
      </c>
    </row>
    <row r="29">
      <c r="A29" s="5" t="inlineStr">
        <is>
          <t>LG U+</t>
        </is>
      </c>
      <c r="B29" s="5" t="inlineStr">
        <is>
          <t>NH카드</t>
        </is>
      </c>
      <c r="C29" s="5" t="inlineStr">
        <is>
          <t>NH올원 LG U+ 카드</t>
        </is>
      </c>
      <c r="D29" s="5" t="inlineStr">
        <is>
          <t>30만</t>
        </is>
      </c>
      <c r="E29" s="5" t="inlineStr">
        <is>
          <t>-9,000원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33" t="inlineStr">
        <is>
          <t>🏷️ SKT 요즘가족결합</t>
        </is>
      </c>
    </row>
    <row r="3">
      <c r="A3" s="4" t="inlineStr">
        <is>
          <t>속도</t>
        </is>
      </c>
      <c r="B3" s="4" t="inlineStr">
        <is>
          <t>회선수</t>
        </is>
      </c>
      <c r="C3" s="4" t="inlineStr">
        <is>
          <t>휴대폰</t>
        </is>
      </c>
      <c r="D3" s="4" t="inlineStr">
        <is>
          <t>인터넷</t>
        </is>
      </c>
      <c r="E3" s="4" t="inlineStr">
        <is>
          <t>IPTV 추가</t>
        </is>
      </c>
      <c r="F3" s="4" t="inlineStr">
        <is>
          <t>총할인</t>
        </is>
      </c>
    </row>
    <row r="4">
      <c r="A4" s="34" t="inlineStr">
        <is>
          <t>100M</t>
        </is>
      </c>
      <c r="B4" s="34" t="n">
        <v>1</v>
      </c>
      <c r="C4" s="34" t="n">
        <v>3500</v>
      </c>
      <c r="D4" s="34" t="n">
        <v>4400</v>
      </c>
      <c r="E4" s="34" t="n">
        <v>1100</v>
      </c>
      <c r="F4" s="34" t="n">
        <v>9000</v>
      </c>
    </row>
    <row r="5">
      <c r="A5" s="34" t="inlineStr">
        <is>
          <t>100M</t>
        </is>
      </c>
      <c r="B5" s="34" t="n">
        <v>2</v>
      </c>
      <c r="C5" s="34" t="n">
        <v>7000</v>
      </c>
      <c r="D5" s="34" t="n">
        <v>4400</v>
      </c>
      <c r="E5" s="34" t="n">
        <v>1100</v>
      </c>
      <c r="F5" s="34" t="n">
        <v>12500</v>
      </c>
    </row>
    <row r="6">
      <c r="A6" s="34" t="inlineStr">
        <is>
          <t>100M</t>
        </is>
      </c>
      <c r="B6" s="34" t="n">
        <v>3</v>
      </c>
      <c r="C6" s="34" t="n">
        <v>18000</v>
      </c>
      <c r="D6" s="34" t="n">
        <v>4400</v>
      </c>
      <c r="E6" s="34" t="n">
        <v>1100</v>
      </c>
      <c r="F6" s="34" t="n">
        <v>23500</v>
      </c>
    </row>
    <row r="7">
      <c r="A7" s="34" t="inlineStr">
        <is>
          <t>100M</t>
        </is>
      </c>
      <c r="B7" s="34" t="n">
        <v>4</v>
      </c>
      <c r="C7" s="34" t="n">
        <v>18000</v>
      </c>
      <c r="D7" s="34" t="n">
        <v>4400</v>
      </c>
      <c r="E7" s="34" t="n">
        <v>1100</v>
      </c>
      <c r="F7" s="34" t="n">
        <v>23500</v>
      </c>
    </row>
    <row r="8">
      <c r="A8" s="34" t="inlineStr">
        <is>
          <t>100M</t>
        </is>
      </c>
      <c r="B8" s="34" t="n">
        <v>5</v>
      </c>
      <c r="C8" s="34" t="n">
        <v>18000</v>
      </c>
      <c r="D8" s="34" t="n">
        <v>4400</v>
      </c>
      <c r="E8" s="34" t="n">
        <v>1100</v>
      </c>
      <c r="F8" s="34" t="n">
        <v>23500</v>
      </c>
    </row>
    <row r="9">
      <c r="A9" s="34" t="inlineStr">
        <is>
          <t>500M</t>
        </is>
      </c>
      <c r="B9" s="34" t="n">
        <v>1</v>
      </c>
      <c r="C9" s="34" t="n">
        <v>3500</v>
      </c>
      <c r="D9" s="34" t="n">
        <v>11000</v>
      </c>
      <c r="E9" s="34" t="n">
        <v>1100</v>
      </c>
      <c r="F9" s="34" t="n">
        <v>15600</v>
      </c>
    </row>
    <row r="10">
      <c r="A10" s="34" t="inlineStr">
        <is>
          <t>500M</t>
        </is>
      </c>
      <c r="B10" s="34" t="n">
        <v>2</v>
      </c>
      <c r="C10" s="34" t="n">
        <v>7000</v>
      </c>
      <c r="D10" s="34" t="n">
        <v>11000</v>
      </c>
      <c r="E10" s="34" t="n">
        <v>1100</v>
      </c>
      <c r="F10" s="34" t="n">
        <v>19100</v>
      </c>
    </row>
    <row r="11">
      <c r="A11" s="34" t="inlineStr">
        <is>
          <t>500M</t>
        </is>
      </c>
      <c r="B11" s="34" t="n">
        <v>3</v>
      </c>
      <c r="C11" s="34" t="n">
        <v>18000</v>
      </c>
      <c r="D11" s="34" t="n">
        <v>11000</v>
      </c>
      <c r="E11" s="34" t="n">
        <v>1100</v>
      </c>
      <c r="F11" s="34" t="n">
        <v>30100</v>
      </c>
    </row>
    <row r="12">
      <c r="A12" s="34" t="inlineStr">
        <is>
          <t>500M</t>
        </is>
      </c>
      <c r="B12" s="34" t="n">
        <v>4</v>
      </c>
      <c r="C12" s="34" t="n">
        <v>24000</v>
      </c>
      <c r="D12" s="34" t="n">
        <v>11000</v>
      </c>
      <c r="E12" s="34" t="n">
        <v>1100</v>
      </c>
      <c r="F12" s="34" t="n">
        <v>36100</v>
      </c>
    </row>
    <row r="13">
      <c r="A13" s="34" t="inlineStr">
        <is>
          <t>500M</t>
        </is>
      </c>
      <c r="B13" s="34" t="n">
        <v>5</v>
      </c>
      <c r="C13" s="34" t="n">
        <v>24000</v>
      </c>
      <c r="D13" s="34" t="n">
        <v>11000</v>
      </c>
      <c r="E13" s="34" t="n">
        <v>1100</v>
      </c>
      <c r="F13" s="34" t="n">
        <v>36100</v>
      </c>
    </row>
    <row r="14">
      <c r="A14" s="34" t="inlineStr">
        <is>
          <t>1G</t>
        </is>
      </c>
      <c r="B14" s="34" t="n">
        <v>1</v>
      </c>
      <c r="C14" s="34" t="n">
        <v>3500</v>
      </c>
      <c r="D14" s="34" t="n">
        <v>13200</v>
      </c>
      <c r="E14" s="34" t="n">
        <v>1100</v>
      </c>
      <c r="F14" s="34" t="n">
        <v>17800</v>
      </c>
    </row>
    <row r="15">
      <c r="A15" s="34" t="inlineStr">
        <is>
          <t>1G</t>
        </is>
      </c>
      <c r="B15" s="34" t="n">
        <v>2</v>
      </c>
      <c r="C15" s="34" t="n">
        <v>7000</v>
      </c>
      <c r="D15" s="34" t="n">
        <v>13200</v>
      </c>
      <c r="E15" s="34" t="n">
        <v>1100</v>
      </c>
      <c r="F15" s="34" t="n">
        <v>21300</v>
      </c>
    </row>
    <row r="16">
      <c r="A16" s="34" t="inlineStr">
        <is>
          <t>1G</t>
        </is>
      </c>
      <c r="B16" s="34" t="n">
        <v>3</v>
      </c>
      <c r="C16" s="34" t="n">
        <v>18000</v>
      </c>
      <c r="D16" s="34" t="n">
        <v>13200</v>
      </c>
      <c r="E16" s="34" t="n">
        <v>1100</v>
      </c>
      <c r="F16" s="34" t="n">
        <v>32300</v>
      </c>
    </row>
    <row r="17">
      <c r="A17" s="34" t="inlineStr">
        <is>
          <t>1G</t>
        </is>
      </c>
      <c r="B17" s="34" t="n">
        <v>4</v>
      </c>
      <c r="C17" s="34" t="n">
        <v>24000</v>
      </c>
      <c r="D17" s="34" t="n">
        <v>13200</v>
      </c>
      <c r="E17" s="34" t="n">
        <v>1100</v>
      </c>
      <c r="F17" s="34" t="n">
        <v>38300</v>
      </c>
    </row>
    <row r="18">
      <c r="A18" s="34" t="inlineStr">
        <is>
          <t>1G</t>
        </is>
      </c>
      <c r="B18" s="34" t="n">
        <v>5</v>
      </c>
      <c r="C18" s="34" t="n">
        <v>24000</v>
      </c>
      <c r="D18" s="34" t="n">
        <v>13200</v>
      </c>
      <c r="E18" s="34" t="n">
        <v>1100</v>
      </c>
      <c r="F18" s="34" t="n">
        <v>38300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4" customHeight="1">
      <c r="A1" s="35" t="inlineStr">
        <is>
          <t>🏷️ KT 총액결합 (STACK)</t>
        </is>
      </c>
    </row>
    <row r="3">
      <c r="A3" s="4" t="inlineStr">
        <is>
          <t>속도</t>
        </is>
      </c>
      <c r="B3" s="4" t="inlineStr">
        <is>
          <t>구간</t>
        </is>
      </c>
      <c r="C3" s="4" t="inlineStr">
        <is>
          <t>인터넷</t>
        </is>
      </c>
      <c r="D3" s="4" t="inlineStr">
        <is>
          <t>휴대폰</t>
        </is>
      </c>
      <c r="E3" s="4" t="inlineStr">
        <is>
          <t>합계</t>
        </is>
      </c>
    </row>
    <row r="4">
      <c r="A4" s="36" t="inlineStr">
        <is>
          <t>100M</t>
        </is>
      </c>
      <c r="B4" s="36" t="inlineStr">
        <is>
          <t>22K 이하</t>
        </is>
      </c>
      <c r="C4" s="36" t="n">
        <v>1650</v>
      </c>
      <c r="D4" s="36" t="n">
        <v>0</v>
      </c>
      <c r="E4" s="36" t="n">
        <v>1650</v>
      </c>
    </row>
    <row r="5">
      <c r="A5" s="36" t="inlineStr">
        <is>
          <t>100M</t>
        </is>
      </c>
      <c r="B5" s="36" t="inlineStr">
        <is>
          <t>22K 이상</t>
        </is>
      </c>
      <c r="C5" s="36" t="n">
        <v>3300</v>
      </c>
      <c r="D5" s="36" t="n">
        <v>0</v>
      </c>
      <c r="E5" s="36" t="n">
        <v>3300</v>
      </c>
    </row>
    <row r="6">
      <c r="A6" s="36" t="inlineStr">
        <is>
          <t>100M</t>
        </is>
      </c>
      <c r="B6" s="36" t="inlineStr">
        <is>
          <t>64.9K 이상</t>
        </is>
      </c>
      <c r="C6" s="36" t="n">
        <v>5500</v>
      </c>
      <c r="D6" s="36" t="n">
        <v>3300</v>
      </c>
      <c r="E6" s="36" t="n">
        <v>8800</v>
      </c>
    </row>
    <row r="7">
      <c r="A7" s="36" t="inlineStr">
        <is>
          <t>100M</t>
        </is>
      </c>
      <c r="B7" s="36" t="inlineStr">
        <is>
          <t>108.9K 이상</t>
        </is>
      </c>
      <c r="C7" s="36" t="n">
        <v>5500</v>
      </c>
      <c r="D7" s="36" t="n">
        <v>14300</v>
      </c>
      <c r="E7" s="36" t="n">
        <v>19800</v>
      </c>
    </row>
    <row r="8">
      <c r="A8" s="36" t="inlineStr">
        <is>
          <t>100M</t>
        </is>
      </c>
      <c r="B8" s="36" t="inlineStr">
        <is>
          <t>141.9K 이상</t>
        </is>
      </c>
      <c r="C8" s="36" t="n">
        <v>5500</v>
      </c>
      <c r="D8" s="36" t="n">
        <v>18700</v>
      </c>
      <c r="E8" s="36" t="n">
        <v>24200</v>
      </c>
    </row>
    <row r="9">
      <c r="A9" s="36" t="inlineStr">
        <is>
          <t>100M</t>
        </is>
      </c>
      <c r="B9" s="36" t="inlineStr">
        <is>
          <t>174.9K 이상</t>
        </is>
      </c>
      <c r="C9" s="36" t="n">
        <v>5500</v>
      </c>
      <c r="D9" s="36" t="n">
        <v>23100</v>
      </c>
      <c r="E9" s="36" t="n">
        <v>28600</v>
      </c>
    </row>
    <row r="10">
      <c r="A10" s="36" t="inlineStr">
        <is>
          <t>500M</t>
        </is>
      </c>
      <c r="B10" s="36" t="inlineStr">
        <is>
          <t>22K 이하</t>
        </is>
      </c>
      <c r="C10" s="36" t="n">
        <v>2200</v>
      </c>
      <c r="D10" s="36" t="n">
        <v>0</v>
      </c>
      <c r="E10" s="36" t="n">
        <v>2200</v>
      </c>
    </row>
    <row r="11">
      <c r="A11" s="36" t="inlineStr">
        <is>
          <t>500M</t>
        </is>
      </c>
      <c r="B11" s="36" t="inlineStr">
        <is>
          <t>22K 이상</t>
        </is>
      </c>
      <c r="C11" s="36" t="n">
        <v>5500</v>
      </c>
      <c r="D11" s="36" t="n">
        <v>0</v>
      </c>
      <c r="E11" s="36" t="n">
        <v>5500</v>
      </c>
    </row>
    <row r="12">
      <c r="A12" s="36" t="inlineStr">
        <is>
          <t>500M</t>
        </is>
      </c>
      <c r="B12" s="36" t="inlineStr">
        <is>
          <t>64.9K 이상</t>
        </is>
      </c>
      <c r="C12" s="36" t="n">
        <v>5500</v>
      </c>
      <c r="D12" s="36" t="n">
        <v>5500</v>
      </c>
      <c r="E12" s="36" t="n">
        <v>11000</v>
      </c>
    </row>
    <row r="13">
      <c r="A13" s="36" t="inlineStr">
        <is>
          <t>500M</t>
        </is>
      </c>
      <c r="B13" s="36" t="inlineStr">
        <is>
          <t>108.9K 이상</t>
        </is>
      </c>
      <c r="C13" s="36" t="n">
        <v>5500</v>
      </c>
      <c r="D13" s="36" t="n">
        <v>16610</v>
      </c>
      <c r="E13" s="36" t="n">
        <v>22110</v>
      </c>
    </row>
    <row r="14">
      <c r="A14" s="36" t="inlineStr">
        <is>
          <t>500M</t>
        </is>
      </c>
      <c r="B14" s="36" t="inlineStr">
        <is>
          <t>141.9K 이상</t>
        </is>
      </c>
      <c r="C14" s="36" t="n">
        <v>5500</v>
      </c>
      <c r="D14" s="36" t="n">
        <v>22110</v>
      </c>
      <c r="E14" s="36" t="n">
        <v>27610</v>
      </c>
    </row>
    <row r="15">
      <c r="A15" s="36" t="inlineStr">
        <is>
          <t>500M</t>
        </is>
      </c>
      <c r="B15" s="36" t="inlineStr">
        <is>
          <t>174.9K 이상</t>
        </is>
      </c>
      <c r="C15" s="36" t="n">
        <v>5500</v>
      </c>
      <c r="D15" s="36" t="n">
        <v>27610</v>
      </c>
      <c r="E15" s="36" t="n">
        <v>33110</v>
      </c>
    </row>
    <row r="16">
      <c r="A16" s="36" t="inlineStr">
        <is>
          <t>1G</t>
        </is>
      </c>
      <c r="B16" s="36" t="inlineStr">
        <is>
          <t>22K 이하</t>
        </is>
      </c>
      <c r="C16" s="36" t="n">
        <v>2200</v>
      </c>
      <c r="D16" s="36" t="n">
        <v>0</v>
      </c>
      <c r="E16" s="36" t="n">
        <v>2200</v>
      </c>
    </row>
    <row r="17">
      <c r="A17" s="36" t="inlineStr">
        <is>
          <t>1G</t>
        </is>
      </c>
      <c r="B17" s="36" t="inlineStr">
        <is>
          <t>22K 이상</t>
        </is>
      </c>
      <c r="C17" s="36" t="n">
        <v>5500</v>
      </c>
      <c r="D17" s="36" t="n">
        <v>0</v>
      </c>
      <c r="E17" s="36" t="n">
        <v>5500</v>
      </c>
    </row>
    <row r="18">
      <c r="A18" s="36" t="inlineStr">
        <is>
          <t>1G</t>
        </is>
      </c>
      <c r="B18" s="36" t="inlineStr">
        <is>
          <t>64.9K 이상</t>
        </is>
      </c>
      <c r="C18" s="36" t="n">
        <v>5500</v>
      </c>
      <c r="D18" s="36" t="n">
        <v>5500</v>
      </c>
      <c r="E18" s="36" t="n">
        <v>11000</v>
      </c>
    </row>
    <row r="19">
      <c r="A19" s="36" t="inlineStr">
        <is>
          <t>1G</t>
        </is>
      </c>
      <c r="B19" s="36" t="inlineStr">
        <is>
          <t>108.9K 이상</t>
        </is>
      </c>
      <c r="C19" s="36" t="n">
        <v>5500</v>
      </c>
      <c r="D19" s="36" t="n">
        <v>16610</v>
      </c>
      <c r="E19" s="36" t="n">
        <v>22110</v>
      </c>
    </row>
    <row r="20">
      <c r="A20" s="36" t="inlineStr">
        <is>
          <t>1G</t>
        </is>
      </c>
      <c r="B20" s="36" t="inlineStr">
        <is>
          <t>141.9K 이상</t>
        </is>
      </c>
      <c r="C20" s="36" t="n">
        <v>5500</v>
      </c>
      <c r="D20" s="36" t="n">
        <v>22110</v>
      </c>
      <c r="E20" s="36" t="n">
        <v>27610</v>
      </c>
    </row>
    <row r="21">
      <c r="A21" s="36" t="inlineStr">
        <is>
          <t>1G</t>
        </is>
      </c>
      <c r="B21" s="36" t="inlineStr">
        <is>
          <t>174.9K 이상</t>
        </is>
      </c>
      <c r="C21" s="36" t="n">
        <v>5500</v>
      </c>
      <c r="D21" s="36" t="n">
        <v>27610</v>
      </c>
      <c r="E21" s="36" t="n">
        <v>33110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35" t="inlineStr">
        <is>
          <t>🏷️ KT 정액결합</t>
        </is>
      </c>
    </row>
    <row r="3">
      <c r="A3" s="4" t="inlineStr">
        <is>
          <t>구간</t>
        </is>
      </c>
      <c r="B3" s="4" t="inlineStr">
        <is>
          <t>인터넷</t>
        </is>
      </c>
      <c r="C3" s="4" t="inlineStr">
        <is>
          <t>휴대폰</t>
        </is>
      </c>
      <c r="D3" s="4" t="inlineStr">
        <is>
          <t>합계</t>
        </is>
      </c>
    </row>
    <row r="4">
      <c r="A4" s="36" t="inlineStr">
        <is>
          <t>37K 이하</t>
        </is>
      </c>
      <c r="B4" s="36" t="n">
        <v>5500</v>
      </c>
      <c r="C4" s="36" t="n">
        <v>0</v>
      </c>
      <c r="D4" s="36" t="n">
        <v>5500</v>
      </c>
    </row>
    <row r="5">
      <c r="A5" s="36" t="inlineStr">
        <is>
          <t>37K 이상</t>
        </is>
      </c>
      <c r="B5" s="36" t="n">
        <v>5500</v>
      </c>
      <c r="C5" s="36" t="n">
        <v>3000</v>
      </c>
      <c r="D5" s="36" t="n">
        <v>8500</v>
      </c>
    </row>
    <row r="6">
      <c r="A6" s="36" t="inlineStr">
        <is>
          <t>61K 이상</t>
        </is>
      </c>
      <c r="B6" s="36" t="n">
        <v>5500</v>
      </c>
      <c r="C6" s="36" t="n">
        <v>5000</v>
      </c>
      <c r="D6" s="36" t="n">
        <v>10500</v>
      </c>
    </row>
    <row r="7">
      <c r="A7" s="36" t="inlineStr">
        <is>
          <t>77K 이상</t>
        </is>
      </c>
      <c r="B7" s="36" t="n">
        <v>5500</v>
      </c>
      <c r="C7" s="36" t="n">
        <v>7000</v>
      </c>
      <c r="D7" s="36" t="n">
        <v>12500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37" t="inlineStr">
        <is>
          <t>💎 KT 프리미엄 가족결합 (원본 planCatalog 14종)</t>
        </is>
      </c>
    </row>
    <row r="3">
      <c r="A3" s="32" t="inlineStr">
        <is>
          <t>자격: 77,000원↑ 요금제 2회선 이상 필수 · 대표자는 총액결합만 · 구성원 77K↑만 프리미엄 선택 가능 · 인터넷 -5,500원 기본</t>
        </is>
      </c>
    </row>
    <row r="5">
      <c r="A5" s="4" t="inlineStr">
        <is>
          <t>월정액 (v)</t>
        </is>
      </c>
      <c r="B5" s="4" t="inlineStr">
        <is>
          <t>요금제명 (label)</t>
        </is>
      </c>
      <c r="C5" s="4" t="inlineStr">
        <is>
          <t>prem 자격</t>
        </is>
      </c>
      <c r="D5" s="4" t="inlineStr">
        <is>
          <t>할인액 (dc)</t>
        </is>
      </c>
      <c r="E5" s="4" t="inlineStr">
        <is>
          <t>비율</t>
        </is>
      </c>
    </row>
    <row r="6">
      <c r="A6" s="38" t="n">
        <v>0</v>
      </c>
      <c r="B6" s="38" t="inlineStr">
        <is>
          <t>— 회선 없음 —</t>
        </is>
      </c>
      <c r="C6" s="38" t="inlineStr">
        <is>
          <t>X</t>
        </is>
      </c>
      <c r="D6" s="38" t="n">
        <v>0</v>
      </c>
      <c r="E6" s="38" t="inlineStr">
        <is>
          <t>-</t>
        </is>
      </c>
    </row>
    <row r="7">
      <c r="A7" s="38" t="n">
        <v>32890</v>
      </c>
      <c r="B7" s="38" t="inlineStr">
        <is>
          <t>32,890원 (LTE 데이터선택)</t>
        </is>
      </c>
      <c r="C7" s="38" t="inlineStr">
        <is>
          <t>X</t>
        </is>
      </c>
      <c r="D7" s="38" t="n">
        <v>0</v>
      </c>
      <c r="E7" s="38" t="inlineStr">
        <is>
          <t>-</t>
        </is>
      </c>
    </row>
    <row r="8">
      <c r="A8" s="38" t="n">
        <v>47000</v>
      </c>
      <c r="B8" s="38" t="inlineStr">
        <is>
          <t>47,000원</t>
        </is>
      </c>
      <c r="C8" s="38" t="inlineStr">
        <is>
          <t>X</t>
        </is>
      </c>
      <c r="D8" s="38" t="n">
        <v>0</v>
      </c>
      <c r="E8" s="38" t="inlineStr">
        <is>
          <t>-</t>
        </is>
      </c>
    </row>
    <row r="9">
      <c r="A9" s="38" t="n">
        <v>55000</v>
      </c>
      <c r="B9" s="38" t="inlineStr">
        <is>
          <t>55,000원</t>
        </is>
      </c>
      <c r="C9" s="38" t="inlineStr">
        <is>
          <t>X</t>
        </is>
      </c>
      <c r="D9" s="38" t="n">
        <v>0</v>
      </c>
      <c r="E9" s="38" t="inlineStr">
        <is>
          <t>-</t>
        </is>
      </c>
    </row>
    <row r="10">
      <c r="A10" s="38" t="n">
        <v>65000</v>
      </c>
      <c r="B10" s="38" t="inlineStr">
        <is>
          <t>65,000원</t>
        </is>
      </c>
      <c r="C10" s="38" t="inlineStr">
        <is>
          <t>X</t>
        </is>
      </c>
      <c r="D10" s="38" t="n">
        <v>0</v>
      </c>
      <c r="E10" s="38" t="inlineStr">
        <is>
          <t>-</t>
        </is>
      </c>
    </row>
    <row r="11">
      <c r="A11" s="38" t="n">
        <v>77000</v>
      </c>
      <c r="B11" s="38" t="inlineStr">
        <is>
          <t>77,000원 (임계값)</t>
        </is>
      </c>
      <c r="C11" s="38" t="inlineStr">
        <is>
          <t>✓</t>
        </is>
      </c>
      <c r="D11" s="38" t="n">
        <v>19250</v>
      </c>
      <c r="E11" s="38" t="inlineStr">
        <is>
          <t>≈25%</t>
        </is>
      </c>
    </row>
    <row r="12">
      <c r="A12" s="38" t="n">
        <v>80000</v>
      </c>
      <c r="B12" s="38" t="inlineStr">
        <is>
          <t>80,000원 (5G 슈퍼플랜 베이직)</t>
        </is>
      </c>
      <c r="C12" s="38" t="inlineStr">
        <is>
          <t>✓</t>
        </is>
      </c>
      <c r="D12" s="38" t="n">
        <v>20000</v>
      </c>
      <c r="E12" s="38" t="inlineStr">
        <is>
          <t>25%</t>
        </is>
      </c>
    </row>
    <row r="13">
      <c r="A13" s="38" t="n">
        <v>87890</v>
      </c>
      <c r="B13" s="38" t="inlineStr">
        <is>
          <t>87,890원 (데이터선택 87.8)</t>
        </is>
      </c>
      <c r="C13" s="38" t="inlineStr">
        <is>
          <t>✓</t>
        </is>
      </c>
      <c r="D13" s="38" t="n">
        <v>22000</v>
      </c>
      <c r="E13" s="38" t="inlineStr">
        <is>
          <t>≈25%</t>
        </is>
      </c>
    </row>
    <row r="14">
      <c r="A14" s="38" t="n">
        <v>89000</v>
      </c>
      <c r="B14" s="38" t="inlineStr">
        <is>
          <t>89,000원 (데이터ON 프리미엄)</t>
        </is>
      </c>
      <c r="C14" s="38" t="inlineStr">
        <is>
          <t>✓</t>
        </is>
      </c>
      <c r="D14" s="38" t="n">
        <v>22250</v>
      </c>
      <c r="E14" s="38" t="inlineStr">
        <is>
          <t>25%</t>
        </is>
      </c>
    </row>
    <row r="15">
      <c r="A15" s="38" t="n">
        <v>90000</v>
      </c>
      <c r="B15" s="38" t="inlineStr">
        <is>
          <t>90,000원 (슈퍼플랜 베이직 Plus/초이스)</t>
        </is>
      </c>
      <c r="C15" s="38" t="inlineStr">
        <is>
          <t>✓</t>
        </is>
      </c>
      <c r="D15" s="38" t="n">
        <v>22500</v>
      </c>
      <c r="E15" s="38" t="inlineStr">
        <is>
          <t>25%</t>
        </is>
      </c>
    </row>
    <row r="16">
      <c r="A16" s="38" t="n">
        <v>100000</v>
      </c>
      <c r="B16" s="38" t="inlineStr">
        <is>
          <t>100,000원 (슈퍼플랜 스페셜)</t>
        </is>
      </c>
      <c r="C16" s="38" t="inlineStr">
        <is>
          <t>✓</t>
        </is>
      </c>
      <c r="D16" s="38" t="n">
        <v>25000</v>
      </c>
      <c r="E16" s="38" t="inlineStr">
        <is>
          <t>25%</t>
        </is>
      </c>
    </row>
    <row r="17">
      <c r="A17" s="38" t="n">
        <v>109000</v>
      </c>
      <c r="B17" s="38" t="inlineStr">
        <is>
          <t>109,000원 (데이터선택 109)</t>
        </is>
      </c>
      <c r="C17" s="38" t="inlineStr">
        <is>
          <t>✓</t>
        </is>
      </c>
      <c r="D17" s="38" t="n">
        <v>27500</v>
      </c>
      <c r="E17" s="38" t="inlineStr">
        <is>
          <t>≈25%</t>
        </is>
      </c>
    </row>
    <row r="18">
      <c r="A18" s="38" t="n">
        <v>110000</v>
      </c>
      <c r="B18" s="38" t="inlineStr">
        <is>
          <t>110,000원 (슈퍼플랜 스페셜 Plus/초이스)</t>
        </is>
      </c>
      <c r="C18" s="38" t="inlineStr">
        <is>
          <t>✓</t>
        </is>
      </c>
      <c r="D18" s="38" t="n">
        <v>27500</v>
      </c>
      <c r="E18" s="38" t="inlineStr">
        <is>
          <t>25%</t>
        </is>
      </c>
    </row>
    <row r="19">
      <c r="A19" s="38" t="n">
        <v>130000</v>
      </c>
      <c r="B19" s="38" t="inlineStr">
        <is>
          <t>130,000원 (슈퍼플랜 프리미엄/초이스)</t>
        </is>
      </c>
      <c r="C19" s="38" t="inlineStr">
        <is>
          <t>✓</t>
        </is>
      </c>
      <c r="D19" s="38" t="n">
        <v>32500</v>
      </c>
      <c r="E19" s="38" t="inlineStr">
        <is>
          <t>25%</t>
        </is>
      </c>
    </row>
  </sheetData>
  <mergeCells count="1"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4" customHeight="1">
      <c r="A1" s="39" t="inlineStr">
        <is>
          <t>🏷️ LG U+ 참쉬운가족결합</t>
        </is>
      </c>
    </row>
    <row r="3">
      <c r="A3" s="4" t="inlineStr">
        <is>
          <t>구분</t>
        </is>
      </c>
      <c r="B3" s="4" t="inlineStr">
        <is>
          <t>100M</t>
        </is>
      </c>
      <c r="C3" s="4" t="inlineStr">
        <is>
          <t>500M</t>
        </is>
      </c>
      <c r="D3" s="4" t="inlineStr">
        <is>
          <t>1G</t>
        </is>
      </c>
    </row>
    <row r="4">
      <c r="A4" s="40" t="inlineStr">
        <is>
          <t>인터넷 할인</t>
        </is>
      </c>
      <c r="B4" s="40" t="n">
        <v>5500</v>
      </c>
      <c r="C4" s="40" t="n">
        <v>9900</v>
      </c>
      <c r="D4" s="40" t="n">
        <v>13200</v>
      </c>
    </row>
    <row r="6">
      <c r="A6" s="4" t="inlineStr">
        <is>
          <t>요금구간</t>
        </is>
      </c>
      <c r="B6" s="4" t="inlineStr">
        <is>
          <t>2회선</t>
        </is>
      </c>
      <c r="C6" s="4" t="inlineStr">
        <is>
          <t>3회선</t>
        </is>
      </c>
      <c r="D6" s="4" t="inlineStr">
        <is>
          <t>4+회선</t>
        </is>
      </c>
    </row>
    <row r="7">
      <c r="A7" s="40" t="inlineStr">
        <is>
          <t>69K 미만</t>
        </is>
      </c>
      <c r="B7" s="40" t="n">
        <v>2200</v>
      </c>
      <c r="C7" s="40" t="n">
        <v>3300</v>
      </c>
      <c r="D7" s="40" t="n">
        <v>4400</v>
      </c>
    </row>
    <row r="8">
      <c r="A8" s="40" t="inlineStr">
        <is>
          <t>69K 이상</t>
        </is>
      </c>
      <c r="B8" s="40" t="n">
        <v>3300</v>
      </c>
      <c r="C8" s="40" t="n">
        <v>5500</v>
      </c>
      <c r="D8" s="40" t="n">
        <v>6600</v>
      </c>
    </row>
    <row r="9">
      <c r="A9" s="40" t="inlineStr">
        <is>
          <t>88K 이상</t>
        </is>
      </c>
      <c r="B9" s="40" t="n">
        <v>4400</v>
      </c>
      <c r="C9" s="40" t="n">
        <v>6600</v>
      </c>
      <c r="D9" s="40" t="n">
        <v>8800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39" t="inlineStr">
        <is>
          <t>🏷️ LG U+ 투게더 (85K↑)</t>
        </is>
      </c>
    </row>
    <row r="3">
      <c r="A3" s="4" t="inlineStr">
        <is>
          <t>구분</t>
        </is>
      </c>
      <c r="B3" s="4" t="inlineStr">
        <is>
          <t>100M</t>
        </is>
      </c>
      <c r="C3" s="4" t="inlineStr">
        <is>
          <t>500M</t>
        </is>
      </c>
      <c r="D3" s="4" t="inlineStr">
        <is>
          <t>1G</t>
        </is>
      </c>
    </row>
    <row r="4">
      <c r="A4" s="40" t="inlineStr">
        <is>
          <t>인터넷</t>
        </is>
      </c>
      <c r="B4" s="40" t="inlineStr">
        <is>
          <t>불가</t>
        </is>
      </c>
      <c r="C4" s="40" t="n">
        <v>11000</v>
      </c>
      <c r="D4" s="40" t="n">
        <v>11000</v>
      </c>
    </row>
    <row r="6">
      <c r="A6" s="4" t="inlineStr">
        <is>
          <t>회선수</t>
        </is>
      </c>
      <c r="B6" s="4" t="inlineStr">
        <is>
          <t>휴대폰 할인 (인당)</t>
        </is>
      </c>
    </row>
    <row r="7">
      <c r="A7" s="40" t="inlineStr">
        <is>
          <t>2회선</t>
        </is>
      </c>
      <c r="B7" s="40" t="n">
        <v>10000</v>
      </c>
    </row>
    <row r="8">
      <c r="A8" s="40" t="inlineStr">
        <is>
          <t>3회선</t>
        </is>
      </c>
      <c r="B8" s="40" t="n">
        <v>14000</v>
      </c>
    </row>
    <row r="9">
      <c r="A9" s="40" t="inlineStr">
        <is>
          <t>4~5회선</t>
        </is>
      </c>
      <c r="B9" s="40" t="n">
        <v>20000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3" t="inlineStr">
        <is>
          <t>📐 TypeScript 인터페이스</t>
        </is>
      </c>
    </row>
    <row r="3">
      <c r="A3" s="41" t="inlineStr">
        <is>
          <t>interface CarrierData {</t>
        </is>
      </c>
    </row>
    <row r="4">
      <c r="A4" s="41" t="inlineStr">
        <is>
          <t xml:space="preserve">  name, prefix;</t>
        </is>
      </c>
    </row>
    <row r="5">
      <c r="A5" s="41" t="inlineStr">
        <is>
          <t xml:space="preserve">  internet: Record&lt;"100M"|"500M"|"1G", number&gt;;</t>
        </is>
      </c>
    </row>
    <row r="6">
      <c r="A6" s="41" t="inlineStr">
        <is>
          <t xml:space="preserve">  wifiCost? | wifiPrice?: Record&lt;Speed, number&gt;;</t>
        </is>
      </c>
    </row>
    <row r="7">
      <c r="A7" s="41" t="inlineStr">
        <is>
          <t xml:space="preserve">  setTopOptions: SetTop[]; wifiOptions: WiFi[];</t>
        </is>
      </c>
    </row>
    <row r="8">
      <c r="A8" s="41" t="inlineStr">
        <is>
          <t xml:space="preserve">  tvInternetNoWifi, tvInternetWithWifi: Record&lt;Speed, number&gt;;</t>
        </is>
      </c>
    </row>
    <row r="9">
      <c r="A9" s="41" t="inlineStr">
        <is>
          <t xml:space="preserve">  tv: TVProduct[];</t>
        </is>
      </c>
    </row>
    <row r="10">
      <c r="A10" s="41" t="inlineStr">
        <is>
          <t xml:space="preserve">  install: { solo, combo };</t>
        </is>
      </c>
    </row>
    <row r="11">
      <c r="A11" s="41" t="inlineStr">
        <is>
          <t xml:space="preserve">  gift: { solo: SpeedMap, combo: SpeedMap };</t>
        </is>
      </c>
    </row>
    <row r="12">
      <c r="A12" s="41" t="inlineStr">
        <is>
          <t xml:space="preserve">  bundle: BundleConfig;  // 3사별 상이</t>
        </is>
      </c>
    </row>
    <row r="13">
      <c r="A13" s="41" t="inlineStr">
        <is>
          <t>}</t>
        </is>
      </c>
    </row>
    <row r="14">
      <c r="A14" s="41" t="inlineStr"/>
    </row>
    <row r="15">
      <c r="A15" s="41" t="inlineStr">
        <is>
          <t>// SKT: bundle.family { internet, iptv, mobilePerBySpeed }</t>
        </is>
      </c>
    </row>
    <row r="16">
      <c r="A16" s="41" t="inlineStr">
        <is>
          <t>// KT:  bundle.{ranges_total, total, ranges_fixed, fixed, premium}</t>
        </is>
      </c>
    </row>
    <row r="17">
      <c r="A17" s="41" t="inlineStr">
        <is>
          <t>// LGU: bundle.{chweyswun, together}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4" customHeight="1">
      <c r="A1" s="3" t="inlineStr">
        <is>
          <t>🧮 계산 공식</t>
        </is>
      </c>
    </row>
    <row r="3">
      <c r="A3" s="42" t="inlineStr">
        <is>
          <t>⚠️ 3사 결합할인 적용 방식 차이</t>
        </is>
      </c>
    </row>
    <row r="4">
      <c r="A4" s="43" t="inlineStr">
        <is>
          <t>• SKT 요즘가족결합: 단독가 REPLACE (요즘우리집 대체) → tvInternet 사용 X</t>
        </is>
      </c>
    </row>
    <row r="5">
      <c r="A5" s="43" t="inlineStr">
        <is>
          <t>• KT 총액/정액: 기본 TV결합 + 추가할인 STACK (중복)</t>
        </is>
      </c>
    </row>
    <row r="6">
      <c r="A6" s="43" t="inlineStr">
        <is>
          <t>• KT 프리미엄: 대표자+77K미만은 총액결합 / 77K↑ 구성원은 프리미엄 (독립)</t>
        </is>
      </c>
    </row>
    <row r="7">
      <c r="A7" s="43" t="inlineStr">
        <is>
          <t>• LG U+ 참쉬운: 단독가 REPLACE</t>
        </is>
      </c>
    </row>
    <row r="8">
      <c r="A8" s="43" t="inlineStr">
        <is>
          <t>• LG U+ 투게더: 단독가 REPLACE + 100M 결합 불가</t>
        </is>
      </c>
    </row>
  </sheetData>
  <mergeCells count="6">
    <mergeCell ref="A4:B4"/>
    <mergeCell ref="A7:B7"/>
    <mergeCell ref="A5:B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2026-04-21T03:33:56Z</dcterms:created>
  <dcterms:modified xsi:type="dcterms:W3CDTF">2026-04-21T03:33:56Z</dcterms:modified>
</cp:coreProperties>
</file>