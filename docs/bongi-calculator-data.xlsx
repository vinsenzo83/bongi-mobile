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CALC" sheetId="2" state="visible" r:id="rId2"/>
    <sheet name="01_Internet" sheetId="3" state="visible" r:id="rId3"/>
    <sheet name="02_TV" sheetId="4" state="visible" r:id="rId4"/>
    <sheet name="03_TV_Internet" sheetId="5" state="visible" r:id="rId5"/>
    <sheet name="04_SetTop" sheetId="6" state="visible" r:id="rId6"/>
    <sheet name="05_WiFi" sheetId="7" state="visible" r:id="rId7"/>
    <sheet name="06_Install" sheetId="8" state="visible" r:id="rId8"/>
    <sheet name="07_Gift" sheetId="9" state="visible" r:id="rId9"/>
    <sheet name="08_Cards" sheetId="10" state="visible" r:id="rId10"/>
    <sheet name="10_SKT_Bundle" sheetId="11" state="visible" r:id="rId11"/>
    <sheet name="11_KT_Total" sheetId="12" state="visible" r:id="rId12"/>
    <sheet name="12_KT_Fixed" sheetId="13" state="visible" r:id="rId13"/>
    <sheet name="13_KT_Premium" sheetId="14" state="visible" r:id="rId14"/>
    <sheet name="14_LGU_Chweyswun" sheetId="15" state="visible" r:id="rId15"/>
    <sheet name="15_LGU_Together" sheetId="16" state="visible" r:id="rId16"/>
    <sheet name="20_Schema" sheetId="17" state="visible" r:id="rId17"/>
    <sheet name="30_CALC_Formul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1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d97706"/>
      <sz val="10"/>
    </font>
    <font>
      <name val="Noto Sans KR"/>
      <b val="1"/>
      <color rgb="00666666"/>
      <sz val="10"/>
    </font>
    <font>
      <name val="Noto Sans KR"/>
      <color rgb="00666666"/>
      <sz val="9"/>
    </font>
    <font>
      <name val="SF Mono"/>
      <color rgb="001a2744"/>
      <sz val="11"/>
    </font>
    <font>
      <name val="Noto Sans KR"/>
      <i val="1"/>
      <color rgb="00666666"/>
      <sz val="9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e40981"/>
      <sz val="14"/>
    </font>
    <font>
      <name val="Noto Sans KR"/>
      <b val="1"/>
      <color rgb="00e40981"/>
      <sz val="11"/>
    </font>
    <font>
      <name val="SF Mono"/>
      <color rgb="001a2744"/>
      <sz val="10"/>
    </font>
    <font>
      <name val="Noto Sans KR"/>
      <b val="1"/>
      <color rgb="00dc2626"/>
      <sz val="12"/>
    </font>
    <font>
      <name val="SF Mono"/>
      <sz val="10"/>
    </font>
  </fonts>
  <fills count="7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eff6ff"/>
      </patternFill>
    </fill>
    <fill>
      <patternFill patternType="solid">
        <fgColor rgb="00fdf2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4" fontId="14" fillId="0" borderId="1" applyAlignment="1" pivotButton="0" quotePrefix="0" xfId="0">
      <alignment horizontal="right"/>
    </xf>
    <xf numFmtId="0" fontId="15" fillId="0" borderId="0" applyAlignment="1" pivotButton="0" quotePrefix="0" xfId="0">
      <alignment vertical="center"/>
    </xf>
    <xf numFmtId="0" fontId="16" fillId="0" borderId="0" pivotButton="0" quotePrefix="0" xfId="0"/>
    <xf numFmtId="0" fontId="17" fillId="0" borderId="0" pivotButton="0" quotePrefix="0" xfId="0"/>
    <xf numFmtId="164" fontId="18" fillId="0" borderId="1" applyAlignment="1" pivotButton="0" quotePrefix="0" xfId="0">
      <alignment horizontal="right"/>
    </xf>
    <xf numFmtId="0" fontId="19" fillId="0" borderId="0" pivotButton="0" quotePrefix="0" xfId="0"/>
    <xf numFmtId="164" fontId="21" fillId="3" borderId="1" applyAlignment="1" pivotButton="0" quotePrefix="0" xfId="0">
      <alignment horizontal="right"/>
    </xf>
    <xf numFmtId="0" fontId="22" fillId="3" borderId="0" pivotButton="0" quotePrefix="0" xfId="0"/>
    <xf numFmtId="0" fontId="23" fillId="0" borderId="0" pivotButton="0" quotePrefix="0" xfId="0"/>
    <xf numFmtId="0" fontId="5" fillId="4" borderId="1" applyAlignment="1" pivotButton="0" quotePrefix="0" xfId="0">
      <alignment vertical="center"/>
    </xf>
    <xf numFmtId="0" fontId="24" fillId="0" borderId="0" pivotButton="0" quotePrefix="0" xfId="0"/>
    <xf numFmtId="0" fontId="5" fillId="5" borderId="1" applyAlignment="1" pivotButton="0" quotePrefix="0" xfId="0">
      <alignment vertical="center"/>
    </xf>
    <xf numFmtId="0" fontId="25" fillId="0" borderId="0" pivotButton="0" quotePrefix="0" xfId="0"/>
    <xf numFmtId="0" fontId="5" fillId="3" borderId="1" applyAlignment="1" pivotButton="0" quotePrefix="0" xfId="0">
      <alignment vertical="center"/>
    </xf>
    <xf numFmtId="0" fontId="26" fillId="0" borderId="0" pivotButton="0" quotePrefix="0" xfId="0"/>
    <xf numFmtId="0" fontId="5" fillId="6" borderId="1" applyAlignment="1" pivotButton="0" quotePrefix="0" xfId="0">
      <alignment vertical="center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5" fillId="3" borderId="0" pivotButton="0" quotePrefix="0" xfId="0"/>
    <xf numFmtId="0" fontId="17" fillId="0" borderId="1" pivotButton="0" quotePrefix="0" xfId="0"/>
    <xf numFmtId="0" fontId="3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5" customWidth="1" min="3" max="3"/>
  </cols>
  <sheetData>
    <row r="1">
      <c r="A1" s="1" t="inlineStr">
        <is>
          <t>🧮 봉이모바일 — 통신 3사 요금 계산기 Excel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CALC</t>
        </is>
      </c>
      <c r="B7" s="5" t="inlineStr">
        <is>
          <t>대화형 계산기 (3사 통합 · 드롭다운 선택)</t>
        </is>
      </c>
      <c r="C7" s="5" t="inlineStr">
        <is>
          <t>★ 메인</t>
        </is>
      </c>
    </row>
    <row r="8">
      <c r="A8" s="5" t="inlineStr">
        <is>
          <t>01_Internet</t>
        </is>
      </c>
      <c r="B8" s="5" t="inlineStr">
        <is>
          <t>인터넷 단독 요금 (속도별)</t>
        </is>
      </c>
      <c r="C8" s="5" t="inlineStr">
        <is>
          <t>데이터</t>
        </is>
      </c>
    </row>
    <row r="9">
      <c r="A9" s="5" t="inlineStr">
        <is>
          <t>02_TV</t>
        </is>
      </c>
      <c r="B9" s="5" t="inlineStr">
        <is>
          <t>TV 상품 (채널/가격/결합할인)</t>
        </is>
      </c>
      <c r="C9" s="5" t="inlineStr">
        <is>
          <t>데이터</t>
        </is>
      </c>
    </row>
    <row r="10">
      <c r="A10" s="5" t="inlineStr">
        <is>
          <t>03_TV_Internet</t>
        </is>
      </c>
      <c r="B10" s="5" t="inlineStr">
        <is>
          <t>TV 결합 시 인터넷 요금 (WiFi 유/무)</t>
        </is>
      </c>
      <c r="C10" s="5" t="inlineStr">
        <is>
          <t>데이터</t>
        </is>
      </c>
    </row>
    <row r="11">
      <c r="A11" s="5" t="inlineStr">
        <is>
          <t>04_SetTop</t>
        </is>
      </c>
      <c r="B11" s="5" t="inlineStr">
        <is>
          <t>셋톱박스 옵션</t>
        </is>
      </c>
      <c r="C11" s="5" t="inlineStr">
        <is>
          <t>데이터</t>
        </is>
      </c>
    </row>
    <row r="12">
      <c r="A12" s="5" t="inlineStr">
        <is>
          <t>05_WiFi</t>
        </is>
      </c>
      <c r="B12" s="5" t="inlineStr">
        <is>
          <t>WiFi 옵션</t>
        </is>
      </c>
      <c r="C12" s="5" t="inlineStr">
        <is>
          <t>데이터</t>
        </is>
      </c>
    </row>
    <row r="13">
      <c r="A13" s="5" t="inlineStr">
        <is>
          <t>06_Install</t>
        </is>
      </c>
      <c r="B13" s="5" t="inlineStr">
        <is>
          <t>설치비</t>
        </is>
      </c>
      <c r="C13" s="5" t="inlineStr">
        <is>
          <t>데이터</t>
        </is>
      </c>
    </row>
    <row r="14">
      <c r="A14" s="5" t="inlineStr">
        <is>
          <t>07_Gift</t>
        </is>
      </c>
      <c r="B14" s="5" t="inlineStr">
        <is>
          <t>사은품 (속도 × TV결합)</t>
        </is>
      </c>
      <c r="C14" s="5" t="inlineStr">
        <is>
          <t>데이터</t>
        </is>
      </c>
    </row>
    <row r="15">
      <c r="A15" s="5" t="inlineStr">
        <is>
          <t>08_Cards</t>
        </is>
      </c>
      <c r="B15" s="5" t="inlineStr">
        <is>
          <t>제휴카드</t>
        </is>
      </c>
      <c r="C15" s="5" t="inlineStr">
        <is>
          <t>데이터</t>
        </is>
      </c>
    </row>
    <row r="16">
      <c r="A16" s="5" t="inlineStr">
        <is>
          <t>10_SKT_Bundle</t>
        </is>
      </c>
      <c r="B16" s="5" t="inlineStr">
        <is>
          <t>SKT 요즘가족결합 (15조합)</t>
        </is>
      </c>
      <c r="C16" s="5" t="inlineStr">
        <is>
          <t>결합</t>
        </is>
      </c>
    </row>
    <row r="17">
      <c r="A17" s="5" t="inlineStr">
        <is>
          <t>11_KT_Total</t>
        </is>
      </c>
      <c r="B17" s="5" t="inlineStr">
        <is>
          <t>KT 총액결합 (6구간)</t>
        </is>
      </c>
      <c r="C17" s="5" t="inlineStr">
        <is>
          <t>결합</t>
        </is>
      </c>
    </row>
    <row r="18">
      <c r="A18" s="5" t="inlineStr">
        <is>
          <t>12_KT_Fixed</t>
        </is>
      </c>
      <c r="B18" s="5" t="inlineStr">
        <is>
          <t>KT 정액결합 (4구간)</t>
        </is>
      </c>
      <c r="C18" s="5" t="inlineStr">
        <is>
          <t>결합</t>
        </is>
      </c>
    </row>
    <row r="19">
      <c r="A19" s="5" t="inlineStr">
        <is>
          <t>13_KT_Premium</t>
        </is>
      </c>
      <c r="B19" s="5" t="inlineStr">
        <is>
          <t>KT 💎 프리미엄 가족결합</t>
        </is>
      </c>
      <c r="C19" s="5" t="inlineStr">
        <is>
          <t>결합</t>
        </is>
      </c>
    </row>
    <row r="20">
      <c r="A20" s="5" t="inlineStr">
        <is>
          <t>14_LGU_Chweyswun</t>
        </is>
      </c>
      <c r="B20" s="5" t="inlineStr">
        <is>
          <t>LG U+ 참쉬운 가족결합</t>
        </is>
      </c>
      <c r="C20" s="5" t="inlineStr">
        <is>
          <t>결합</t>
        </is>
      </c>
    </row>
    <row r="21">
      <c r="A21" s="5" t="inlineStr">
        <is>
          <t>15_LGU_Together</t>
        </is>
      </c>
      <c r="B21" s="5" t="inlineStr">
        <is>
          <t>LG U+ 투게더 결합</t>
        </is>
      </c>
      <c r="C21" s="5" t="inlineStr">
        <is>
          <t>결합</t>
        </is>
      </c>
    </row>
    <row r="22">
      <c r="A22" s="5" t="inlineStr">
        <is>
          <t>20_Schema</t>
        </is>
      </c>
      <c r="B22" s="5" t="inlineStr">
        <is>
          <t>TypeScript 인터페이스</t>
        </is>
      </c>
      <c r="C22" s="5" t="inlineStr">
        <is>
          <t>개발</t>
        </is>
      </c>
    </row>
    <row r="23">
      <c r="A23" s="5" t="inlineStr">
        <is>
          <t>30_CALC_Formula</t>
        </is>
      </c>
      <c r="B23" s="5" t="inlineStr">
        <is>
          <t>계산 공식 + 결합할인 분기</t>
        </is>
      </c>
      <c r="C23" s="5" t="inlineStr">
        <is>
          <t>개발</t>
        </is>
      </c>
    </row>
    <row r="26">
      <c r="A26" s="6" t="inlineStr">
        <is>
          <t>⚡ 대화형 계산기 사용법</t>
        </is>
      </c>
    </row>
    <row r="27">
      <c r="A27" s="7" t="inlineStr">
        <is>
          <t>1. 🧮 CALC 시트로 이동</t>
        </is>
      </c>
    </row>
    <row r="28">
      <c r="A28" s="7" t="inlineStr">
        <is>
          <t>2. 노란 셀 클릭 → 드롭다운에서 선택 (통신사/속도/TV/WiFi/결합/회선)</t>
        </is>
      </c>
    </row>
    <row r="29">
      <c r="A29" s="7" t="inlineStr">
        <is>
          <t>3. 하단에 자동 계산 결과 (기본요금 · 결합할인 · 혜택가)</t>
        </is>
      </c>
    </row>
    <row r="30">
      <c r="A30" s="7" t="inlineStr">
        <is>
          <t>4. 통신사별 결합할인 방식:</t>
        </is>
      </c>
    </row>
    <row r="31">
      <c r="A31" s="7" t="inlineStr">
        <is>
          <t xml:space="preserve">   · SKT 요즘가족결합 → 단독가 REPLACE (요즘우리집 대체)</t>
        </is>
      </c>
    </row>
    <row r="32">
      <c r="A32" s="7" t="inlineStr">
        <is>
          <t xml:space="preserve">   · KT 총액결합 → 기본 TV결합 + 총액 STACK (중복)</t>
        </is>
      </c>
    </row>
    <row r="33">
      <c r="A33" s="7" t="inlineStr">
        <is>
          <t xml:space="preserve">   · LG U+ 참쉬운 → 단독가 REPLACE</t>
        </is>
      </c>
    </row>
  </sheetData>
  <mergeCells count="10">
    <mergeCell ref="A28:C28"/>
    <mergeCell ref="A33:C33"/>
    <mergeCell ref="A1:C1"/>
    <mergeCell ref="A32:C32"/>
    <mergeCell ref="A31:C31"/>
    <mergeCell ref="A27:C27"/>
    <mergeCell ref="A30:C30"/>
    <mergeCell ref="A29:C29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4" customWidth="1" min="4" max="4"/>
    <col width="30" customWidth="1" min="5" max="5"/>
    <col hidden="1"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 ht="36" customHeight="1">
      <c r="A1" s="8" t="inlineStr">
        <is>
          <t>🧮 통신 3사 요금 계산기</t>
        </is>
      </c>
      <c r="G1" t="inlineStr">
        <is>
          <t>carrier</t>
        </is>
      </c>
      <c r="H1" t="inlineStr">
        <is>
          <t>tv_name</t>
        </is>
      </c>
      <c r="I1" t="inlineStr">
        <is>
          <t>p</t>
        </is>
      </c>
      <c r="J1" t="inlineStr">
        <is>
          <t>dc</t>
        </is>
      </c>
    </row>
    <row r="2">
      <c r="G2" t="inlineStr">
        <is>
          <t>SKT</t>
        </is>
      </c>
      <c r="H2" t="inlineStr">
        <is>
          <t>TV 없음</t>
        </is>
      </c>
      <c r="I2" t="n">
        <v>0</v>
      </c>
      <c r="J2" t="n">
        <v>0</v>
      </c>
    </row>
    <row r="3">
      <c r="A3" s="9" t="inlineStr">
        <is>
          <t>📝 입력 (노란 셀 클릭 → 드롭다운)</t>
        </is>
      </c>
      <c r="G3" t="inlineStr">
        <is>
          <t>SKT</t>
        </is>
      </c>
      <c r="H3" t="inlineStr">
        <is>
          <t>B tv 이코노미</t>
        </is>
      </c>
      <c r="I3" t="n">
        <v>12100</v>
      </c>
      <c r="J3" t="n">
        <v>2200</v>
      </c>
    </row>
    <row r="4">
      <c r="A4" s="10" t="inlineStr">
        <is>
          <t>통신사</t>
        </is>
      </c>
      <c r="B4" s="11" t="inlineStr">
        <is>
          <t>SKT</t>
        </is>
      </c>
      <c r="C4" s="12" t="inlineStr">
        <is>
          <t>← 클릭</t>
        </is>
      </c>
      <c r="G4" t="inlineStr">
        <is>
          <t>SKT</t>
        </is>
      </c>
      <c r="H4" t="inlineStr">
        <is>
          <t>B tv 스탠다드</t>
        </is>
      </c>
      <c r="I4" t="n">
        <v>15400</v>
      </c>
      <c r="J4" t="n">
        <v>2200</v>
      </c>
    </row>
    <row r="5">
      <c r="A5" s="10" t="inlineStr">
        <is>
          <t>속도</t>
        </is>
      </c>
      <c r="B5" s="11" t="inlineStr">
        <is>
          <t>500M</t>
        </is>
      </c>
      <c r="C5" s="12" t="inlineStr">
        <is>
          <t>← 클릭</t>
        </is>
      </c>
      <c r="G5" t="inlineStr">
        <is>
          <t>SKT</t>
        </is>
      </c>
      <c r="H5" t="inlineStr">
        <is>
          <t>B tv 올</t>
        </is>
      </c>
      <c r="I5" t="n">
        <v>18700</v>
      </c>
      <c r="J5" t="n">
        <v>2200</v>
      </c>
    </row>
    <row r="6">
      <c r="A6" s="10" t="inlineStr">
        <is>
          <t>TV 상품</t>
        </is>
      </c>
      <c r="B6" s="11" t="inlineStr">
        <is>
          <t>B tv 올</t>
        </is>
      </c>
      <c r="C6" s="12" t="inlineStr">
        <is>
          <t>← 클릭</t>
        </is>
      </c>
      <c r="G6" t="inlineStr">
        <is>
          <t>SKT</t>
        </is>
      </c>
      <c r="H6" t="inlineStr">
        <is>
          <t>B tv 스탠다드 플러스</t>
        </is>
      </c>
      <c r="I6" t="n">
        <v>23100</v>
      </c>
      <c r="J6" t="n">
        <v>2200</v>
      </c>
    </row>
    <row r="7">
      <c r="A7" s="10" t="inlineStr">
        <is>
          <t>WiFi 사용</t>
        </is>
      </c>
      <c r="B7" s="11" t="inlineStr">
        <is>
          <t>N</t>
        </is>
      </c>
      <c r="C7" s="12" t="inlineStr">
        <is>
          <t>← 클릭</t>
        </is>
      </c>
      <c r="G7" t="inlineStr">
        <is>
          <t>SKT</t>
        </is>
      </c>
      <c r="H7" t="inlineStr">
        <is>
          <t>B tv 올 플러스</t>
        </is>
      </c>
      <c r="I7" t="n">
        <v>24200</v>
      </c>
      <c r="J7" t="n">
        <v>2200</v>
      </c>
    </row>
    <row r="8">
      <c r="A8" s="10" t="inlineStr">
        <is>
          <t>결합 종류</t>
        </is>
      </c>
      <c r="B8" s="11" t="inlineStr">
        <is>
          <t>요즘가족결합</t>
        </is>
      </c>
      <c r="C8" s="12" t="inlineStr">
        <is>
          <t>← 클릭</t>
        </is>
      </c>
      <c r="G8" t="inlineStr">
        <is>
          <t>SKT</t>
        </is>
      </c>
      <c r="H8" t="inlineStr">
        <is>
          <t>B tv 스탠다드 넷플릭스</t>
        </is>
      </c>
      <c r="I8" t="n">
        <v>27700</v>
      </c>
      <c r="J8" t="n">
        <v>2200</v>
      </c>
    </row>
    <row r="9">
      <c r="A9" s="10" t="inlineStr">
        <is>
          <t>휴대폰 회선수</t>
        </is>
      </c>
      <c r="B9" s="11" t="n">
        <v>3</v>
      </c>
      <c r="C9" s="12" t="inlineStr">
        <is>
          <t>← 클릭</t>
        </is>
      </c>
      <c r="G9" t="inlineStr">
        <is>
          <t>SKT</t>
        </is>
      </c>
      <c r="H9" t="inlineStr">
        <is>
          <t>B tv 올 넷플릭스</t>
        </is>
      </c>
      <c r="I9" t="n">
        <v>30200</v>
      </c>
      <c r="J9" t="n">
        <v>2200</v>
      </c>
    </row>
    <row r="10">
      <c r="A10" s="10" t="inlineStr">
        <is>
          <t>KT 합산구간 / LGU 요금구간 (해당 시)</t>
        </is>
      </c>
      <c r="B10" s="11" t="n">
        <v>3</v>
      </c>
      <c r="C10" s="12" t="inlineStr">
        <is>
          <t>← 클릭</t>
        </is>
      </c>
      <c r="G10" t="inlineStr">
        <is>
          <t>SKT</t>
        </is>
      </c>
      <c r="H10" t="inlineStr">
        <is>
          <t>B tv 스탠다드 넷플릭스 프리미엄</t>
        </is>
      </c>
      <c r="I10" t="n">
        <v>30700</v>
      </c>
      <c r="J10" t="n">
        <v>2200</v>
      </c>
    </row>
    <row r="11">
      <c r="G11" t="inlineStr">
        <is>
          <t>SKT</t>
        </is>
      </c>
      <c r="H11" t="inlineStr">
        <is>
          <t>B tv 올 넷플릭스 프리미엄</t>
        </is>
      </c>
      <c r="I11" t="n">
        <v>33200</v>
      </c>
      <c r="J11" t="n">
        <v>2200</v>
      </c>
    </row>
    <row r="12">
      <c r="A12" s="13" t="inlineStr">
        <is>
          <t>ℹ️ 통신사별 결합 안내</t>
        </is>
      </c>
      <c r="G12" t="inlineStr">
        <is>
          <t>KT</t>
        </is>
      </c>
      <c r="H12" t="inlineStr">
        <is>
          <t>TV 없음</t>
        </is>
      </c>
      <c r="I12" t="n">
        <v>0</v>
      </c>
      <c r="J12" t="n">
        <v>0</v>
      </c>
    </row>
    <row r="13">
      <c r="A13" s="14" t="inlineStr">
        <is>
          <t>• SKT: 요즘가족결합 (1~5회선) — 단독가 REPLACE + 휴대폰 별도 차감</t>
        </is>
      </c>
      <c r="G13" t="inlineStr">
        <is>
          <t>KT</t>
        </is>
      </c>
      <c r="H13" t="inlineStr">
        <is>
          <t>지니TV 베이직</t>
        </is>
      </c>
      <c r="I13" t="n">
        <v>14740</v>
      </c>
      <c r="J13" t="n">
        <v>2640</v>
      </c>
    </row>
    <row r="14">
      <c r="A14" s="14" t="inlineStr">
        <is>
          <t>• KT: 총액/정액결합 (구간 1~6, 1~4) — 기본 TV결합 + STACK 중복</t>
        </is>
      </c>
      <c r="G14" t="inlineStr">
        <is>
          <t>KT</t>
        </is>
      </c>
      <c r="H14" t="inlineStr">
        <is>
          <t>지니TV 라이트</t>
        </is>
      </c>
      <c r="I14" t="n">
        <v>15840</v>
      </c>
      <c r="J14" t="n">
        <v>2640</v>
      </c>
    </row>
    <row r="15">
      <c r="A15" s="14" t="inlineStr">
        <is>
          <t>• KT: 프리미엄 가족결합 — 77K+ 2회선 이상 (별도 계산)</t>
        </is>
      </c>
      <c r="G15" t="inlineStr">
        <is>
          <t>KT</t>
        </is>
      </c>
      <c r="H15" t="inlineStr">
        <is>
          <t>지니TV 에센스</t>
        </is>
      </c>
      <c r="I15" t="n">
        <v>20240</v>
      </c>
      <c r="J15" t="n">
        <v>3740</v>
      </c>
    </row>
    <row r="16">
      <c r="A16" s="14" t="inlineStr">
        <is>
          <t>• LG U+: 참쉬운(2~4회선) — 요금구간(1=69K-, 2=69K+, 3=88K+) + 단독가 REPLACE</t>
        </is>
      </c>
      <c r="G16" t="inlineStr">
        <is>
          <t>KT</t>
        </is>
      </c>
      <c r="H16" t="inlineStr">
        <is>
          <t>지니TV 모든G</t>
        </is>
      </c>
      <c r="I16" t="n">
        <v>21340</v>
      </c>
      <c r="J16" t="n">
        <v>4400</v>
      </c>
    </row>
    <row r="17">
      <c r="A17" s="14" t="inlineStr">
        <is>
          <t>• LG U+: 투게더 — 85K+ 고가요금제, 500M+ 전용 (100M 불가)</t>
        </is>
      </c>
      <c r="G17" t="inlineStr">
        <is>
          <t>KT</t>
        </is>
      </c>
      <c r="H17" t="inlineStr">
        <is>
          <t>지니TV 디즈니+모든G</t>
        </is>
      </c>
      <c r="I17" t="n">
        <v>28100</v>
      </c>
      <c r="J17" t="n">
        <v>6600</v>
      </c>
    </row>
    <row r="18">
      <c r="G18" t="inlineStr">
        <is>
          <t>LG U+</t>
        </is>
      </c>
      <c r="H18" t="inlineStr">
        <is>
          <t>TV 없음</t>
        </is>
      </c>
      <c r="I18" t="n">
        <v>0</v>
      </c>
      <c r="J18" t="n">
        <v>0</v>
      </c>
    </row>
    <row r="19">
      <c r="A19" s="9" t="inlineStr">
        <is>
          <t>🧮 자동 계산 (수식)</t>
        </is>
      </c>
      <c r="G19" t="inlineStr">
        <is>
          <t>LG U+</t>
        </is>
      </c>
      <c r="H19" t="inlineStr">
        <is>
          <t>U+tv 실속형</t>
        </is>
      </c>
      <c r="I19" t="n">
        <v>15400</v>
      </c>
      <c r="J19" t="n">
        <v>2200</v>
      </c>
    </row>
    <row r="20">
      <c r="A20" s="7" t="inlineStr">
        <is>
          <t>인터넷 단독가</t>
        </is>
      </c>
      <c r="B20" s="15">
        <f>IF(B5="100M",22000,IF(B5="500M",33000,38500))</f>
        <v/>
      </c>
      <c r="C20" s="16" t="inlineStr">
        <is>
          <t>→ 01_Internet 시트 · 3사 동일 요금</t>
        </is>
      </c>
      <c r="G20" t="inlineStr">
        <is>
          <t>LG U+</t>
        </is>
      </c>
      <c r="H20" t="inlineStr">
        <is>
          <t>U+tv 기본형</t>
        </is>
      </c>
      <c r="I20" t="n">
        <v>16500</v>
      </c>
      <c r="J20" t="n">
        <v>2200</v>
      </c>
    </row>
    <row r="21">
      <c r="A21" s="7" t="inlineStr">
        <is>
          <t>TV 가격 (p)</t>
        </is>
      </c>
      <c r="B21" s="15">
        <f>IFERROR(SUMPRODUCT(($G$2:$G$22=B4)*($H$2:$H$22=B6)*($I$2:$I$22)),0)</f>
        <v/>
      </c>
      <c r="C21" s="16" t="inlineStr">
        <is>
          <t>→ 02_TV 시트 · 통신사+상품명 조회 (숨김 G~J)</t>
        </is>
      </c>
      <c r="G21" t="inlineStr">
        <is>
          <t>LG U+</t>
        </is>
      </c>
      <c r="H21" t="inlineStr">
        <is>
          <t>U+tv 프리미엄</t>
        </is>
      </c>
      <c r="I21" t="n">
        <v>18700</v>
      </c>
      <c r="J21" t="n">
        <v>2200</v>
      </c>
    </row>
    <row r="22">
      <c r="A22" s="7" t="inlineStr">
        <is>
          <t>TV 결합할인 (dc)</t>
        </is>
      </c>
      <c r="B22" s="15">
        <f>IFERROR(SUMPRODUCT(($G$2:$G$22=B4)*($H$2:$H$22=B6)*($J$2:$J$22)),0)</f>
        <v/>
      </c>
      <c r="C22" s="16" t="inlineStr">
        <is>
          <t>→ 02_TV 시트 · 인터넷 결합 시 TV 할인</t>
        </is>
      </c>
      <c r="G22" t="inlineStr">
        <is>
          <t>LG U+</t>
        </is>
      </c>
      <c r="H22" t="inlineStr">
        <is>
          <t>U+tv 프리미엄 VOD</t>
        </is>
      </c>
      <c r="I22" t="n">
        <v>24200</v>
      </c>
      <c r="J22" t="n">
        <v>5500</v>
      </c>
    </row>
    <row r="23">
      <c r="A23" s="7" t="inlineStr">
        <is>
          <t>TV 선택 여부</t>
        </is>
      </c>
      <c r="B23" s="15">
        <f>IF(B6="TV 없음",0,1)</f>
        <v/>
      </c>
      <c r="C23" s="16" t="inlineStr">
        <is>
          <t>0 = 인터넷 단독 / 1 = TV 결합</t>
        </is>
      </c>
    </row>
    <row r="24">
      <c r="A24" s="7" t="inlineStr">
        <is>
          <t>WiFi 추가금 (속도별)</t>
        </is>
      </c>
      <c r="B24" s="15">
        <f>IF(B7="N",0,IF(B4="SKT",1100,IF(B4="KT",IF(B5="1G",0,1100),0)))</f>
        <v/>
      </c>
      <c r="C24" s="16" t="inlineStr">
        <is>
          <t>→ 05_WiFi 기본 모델 · SKT 1,100 / KT 100M·500M 1,100, 1G 무료 / LGU+ 전속도 무료</t>
        </is>
      </c>
    </row>
    <row r="25">
      <c r="A25" s="7" t="inlineStr">
        <is>
          <t>tvInternetNoWifi</t>
        </is>
      </c>
      <c r="B25" s="15">
        <f>IF(B4="SKT",IF(B5="100M",19800,IF(B5="500M",27500,33000)),IF(B4="KT",IF(B5="100M",22000,IF(B5="500M",27500,33000)),IF(B5="100M",22000,IF(B5="500M",27500,33000))))</f>
        <v/>
      </c>
      <c r="C25" s="16" t="inlineStr">
        <is>
          <t>→ 03_TV_Internet 시트 · TV 결합 시 인터넷가 (WiFi 미포함)</t>
        </is>
      </c>
    </row>
    <row r="26">
      <c r="A26" s="7" t="inlineStr">
        <is>
          <t>tvInternetWithWifi</t>
        </is>
      </c>
      <c r="B26" s="15">
        <f>IF(B4="SKT",IF(B5="100M",22000,IF(B5="500M",28600,34100)),IF(B4="KT",IF(B5="100M",23100,IF(B5="500M",28600,33000)),IF(B5="100M",22000,IF(B5="500M",27500,33000))))</f>
        <v/>
      </c>
      <c r="C26" s="16" t="inlineStr">
        <is>
          <t>→ 03_TV_Internet 시트 · TV+WiFi 결합 시 인터넷가</t>
        </is>
      </c>
    </row>
    <row r="27">
      <c r="A27" s="7" t="inlineStr">
        <is>
          <t>셋톱박스 (기본)</t>
        </is>
      </c>
      <c r="B27" s="15">
        <f>4400</f>
        <v/>
      </c>
      <c r="C27" s="16" t="inlineStr">
        <is>
          <t>→ 04_SetTop 기본 모델 · SKT 스마트3 / KT 기가지니3 / LGU+ U+tv UHD4 (모두 4,400원)</t>
        </is>
      </c>
    </row>
    <row r="29">
      <c r="A29" s="17" t="inlineStr">
        <is>
          <t>【경로 A】 결합없음 / 기본 TV 결합만</t>
        </is>
      </c>
    </row>
    <row r="30">
      <c r="A30" s="18" t="inlineStr">
        <is>
          <t xml:space="preserve">  기본 월요금</t>
        </is>
      </c>
      <c r="B30" s="19">
        <f>IF(B23=0,B24+B24,IF(B7="Y",B26,B25)+(B21-B22)+B27)</f>
        <v/>
      </c>
    </row>
    <row r="32">
      <c r="A32" s="20" t="inlineStr">
        <is>
          <t>【경로 B】 휴대폰 결합 할인 적용</t>
        </is>
      </c>
    </row>
    <row r="33">
      <c r="A33" s="7" t="inlineStr">
        <is>
          <t xml:space="preserve">  [SKT] 요즘가족 인터넷 할인</t>
        </is>
      </c>
      <c r="B33" s="15">
        <f>IF(AND(B4="SKT",B8="요즘가족결합",B9&gt;0),IF(B5="100M",4400,IF(B5="500M",11000,13200)),0)</f>
        <v/>
      </c>
      <c r="C33" s="16" t="inlineStr">
        <is>
          <t>→ 10_SKT_Bundle · 단독가 REPLACE 방식</t>
        </is>
      </c>
    </row>
    <row r="34">
      <c r="A34" s="7" t="inlineStr">
        <is>
          <t xml:space="preserve">  [SKT] IPTV 추가 (TV결합 시)</t>
        </is>
      </c>
      <c r="B34" s="15">
        <f>IF(AND(B4="SKT",B8="요즘가족결합",B9&gt;0,B23=1),1100,0)</f>
        <v/>
      </c>
      <c r="C34" s="16" t="inlineStr">
        <is>
          <t>TV 결합 시에만 추가 -1,100원</t>
        </is>
      </c>
    </row>
    <row r="35">
      <c r="A35" s="7" t="inlineStr">
        <is>
          <t xml:space="preserve">  [SKT] 휴대폰 인당 할인</t>
        </is>
      </c>
      <c r="B35" s="15">
        <f>IF(AND(B4="SKT",B8="요즘가족결합",B9&gt;0),IF(B5="100M",CHOOSE(B9,3500,3500,6000,4500,3600),CHOOSE(B9,3500,3500,6000,6000,4800)),0)</f>
        <v/>
      </c>
      <c r="C35" s="16" t="inlineStr">
        <is>
          <t>→ 10_SKT_Bundle · 속도+회선수별 인당</t>
        </is>
      </c>
    </row>
    <row r="36">
      <c r="A36" s="7" t="inlineStr">
        <is>
          <t xml:space="preserve">  [SKT] 휴대폰 총 할인</t>
        </is>
      </c>
      <c r="B36" s="15">
        <f>B35*IF(AND(B4="SKT",B8="요즘가족결합"),B9,0)</f>
        <v/>
      </c>
      <c r="C36" s="16" t="inlineStr">
        <is>
          <t>인당 × 회선수 (휴대폰 고지서 별도 차감)</t>
        </is>
      </c>
    </row>
    <row r="37">
      <c r="A37" s="7" t="inlineStr">
        <is>
          <t xml:space="preserve">  [KT] 총액결합 인터넷 할인</t>
        </is>
      </c>
      <c r="B37" s="15">
        <f>IF(AND(B4="KT",B8="총액결합"),IF(B5="100M",CHOOSE(B10,1650,3300,5500,5500,5500,5500),CHOOSE(B10,2200,5500,5500,5500,5500,5500)),0)</f>
        <v/>
      </c>
      <c r="C37" s="16" t="inlineStr">
        <is>
          <t>→ 11_KT_Total · 구간 1~6 · 기본 TV결합과 STACK</t>
        </is>
      </c>
    </row>
    <row r="38">
      <c r="A38" s="7" t="inlineStr">
        <is>
          <t xml:space="preserve">  [KT] 총액결합 휴대폰 할인</t>
        </is>
      </c>
      <c r="B38" s="15">
        <f>IF(AND(B4="KT",B8="총액결합"),IF(B5="100M",CHOOSE(B10,0,0,3300,14300,18700,23100),CHOOSE(B10,0,0,5500,16610,22110,27610)),0)</f>
        <v/>
      </c>
      <c r="C38" s="16" t="inlineStr">
        <is>
          <t>→ 11_KT_Total · 휴대폰 고지서 별도 차감</t>
        </is>
      </c>
    </row>
    <row r="39">
      <c r="A39" s="7" t="inlineStr">
        <is>
          <t xml:space="preserve">  [LGU+] 참쉬운 인터넷 할인</t>
        </is>
      </c>
      <c r="B39" s="15">
        <f>IF(AND(B4="LG U+",B8="참쉬운 가족결합",B9&gt;=2),IF(B5="100M",5500,IF(B5="500M",9900,13200)),0)</f>
        <v/>
      </c>
      <c r="C39" s="16" t="inlineStr">
        <is>
          <t>→ 14_LGU_Chweyswun · 단독가 REPLACE · 2회선부터</t>
        </is>
      </c>
    </row>
    <row r="40">
      <c r="A40" s="7" t="inlineStr">
        <is>
          <t xml:space="preserve">  [LGU+] 참쉬운 휴대폰 인당 할인</t>
        </is>
      </c>
      <c r="B40" s="15">
        <f>IF(AND(B4="LG U+",B8="참쉬운 가족결합",B9&gt;=2),CHOOSE(B10,CHOOSE(MIN(B9,4)-1,2200,3300,4400),CHOOSE(MIN(B9,4)-1,3300,5500,6600),CHOOSE(MIN(B9,4)-1,4400,6600,8800)),0)</f>
        <v/>
      </c>
      <c r="C40" s="16" t="inlineStr">
        <is>
          <t>→ 14_LGU_Chweyswun · 요금구간(1~3) × 회선(2~4+)</t>
        </is>
      </c>
    </row>
    <row r="41">
      <c r="A41" s="7" t="inlineStr">
        <is>
          <t xml:space="preserve">  [LGU+] 참쉬운 휴대폰 총 할인</t>
        </is>
      </c>
      <c r="B41" s="15">
        <f>B40*IF(AND(B4="LG U+",B8="참쉬운 가족결합"),MIN(B9,4),0)</f>
        <v/>
      </c>
      <c r="C41" s="16" t="inlineStr">
        <is>
          <t>인당 × 회선수</t>
        </is>
      </c>
    </row>
    <row r="43">
      <c r="A43" s="9" t="inlineStr">
        <is>
          <t>💰 결합 적용 월요금</t>
        </is>
      </c>
    </row>
    <row r="44">
      <c r="A44" s="18" t="inlineStr">
        <is>
          <t xml:space="preserve">  인터넷+TV 월 실납부 (결합 적용)</t>
        </is>
      </c>
      <c r="B44" s="19">
        <f>IF(B8="결합없음",B30,IF(AND(B4="SKT",B8="요즘가족결합"),(B20+B24-B33)+IF(B23=1,B21-B22-B34+B27,0),IF(AND(B4="KT",B8="총액결합"),IF(B23=0,B20+B24-B37,(IF(B7="Y",B26,B25)-B37)+(B21-B22)+B27),IF(AND(B4="LG U+",B8="참쉬운 가족결합"),(B20+B24-B39)+IF(B23=1,B21-B22+B27,0),B30))))</f>
        <v/>
      </c>
    </row>
    <row r="45">
      <c r="A45" s="7" t="inlineStr">
        <is>
          <t xml:space="preserve">  - 휴대폰 고지서 별도 차감</t>
        </is>
      </c>
      <c r="B45" s="15">
        <f>-(B36+B38+B41)</f>
        <v/>
      </c>
    </row>
    <row r="46">
      <c r="A46" s="18" t="inlineStr">
        <is>
          <t xml:space="preserve">  🎉 혜택가 (최종 월요금)</t>
        </is>
      </c>
      <c r="B46" s="21">
        <f>B44-(B36+B38+B41)</f>
        <v/>
      </c>
    </row>
    <row r="48">
      <c r="A48" s="17" t="inlineStr">
        <is>
          <t>🎁 부가 (참고)</t>
        </is>
      </c>
    </row>
    <row r="49">
      <c r="A49" s="7" t="inlineStr">
        <is>
          <t xml:space="preserve">  설치비 (1회성)</t>
        </is>
      </c>
      <c r="B49" s="15">
        <f>IF(B4="KT",IF(B23=0,36000,56200),IF(B23=0,36300,56100))</f>
        <v/>
      </c>
    </row>
    <row r="50">
      <c r="A50" s="7" t="inlineStr">
        <is>
          <t xml:space="preserve">  사은품</t>
        </is>
      </c>
      <c r="B50" s="15">
        <f>IF(B4="SKT",IF(B23=0,IF(B5="100M",110000,170000),CHOOSE(MATCH(B5,{"100M","500M","1G"},0),400000,430000,490000)),IF(B4="KT",IF(B23=0,IF(B5="100M",90000,140000),CHOOSE(MATCH(B5,{"100M","500M","1G"},0),370000,450000,450000)),IF(B23=0,IF(B5="100M",200000,230000),CHOOSE(MATCH(B5,{"100M","500M","1G"},0),400000,470000,470000))))</f>
        <v/>
      </c>
    </row>
  </sheetData>
  <mergeCells count="25">
    <mergeCell ref="C41:E41"/>
    <mergeCell ref="A15:E15"/>
    <mergeCell ref="C22:E22"/>
    <mergeCell ref="C40:E40"/>
    <mergeCell ref="A1:E1"/>
    <mergeCell ref="C21:E21"/>
    <mergeCell ref="C36:E36"/>
    <mergeCell ref="C27:E27"/>
    <mergeCell ref="A16:E16"/>
    <mergeCell ref="C23:E23"/>
    <mergeCell ref="C39:E39"/>
    <mergeCell ref="A3:E3"/>
    <mergeCell ref="C38:E38"/>
    <mergeCell ref="C37:E37"/>
    <mergeCell ref="A14:E14"/>
    <mergeCell ref="C34:E34"/>
    <mergeCell ref="A17:E17"/>
    <mergeCell ref="C24:E24"/>
    <mergeCell ref="C33:E33"/>
    <mergeCell ref="A19:E19"/>
    <mergeCell ref="C26:E26"/>
    <mergeCell ref="A13:E13"/>
    <mergeCell ref="C35:E35"/>
    <mergeCell ref="C20:E20"/>
    <mergeCell ref="C25:E25"/>
  </mergeCells>
  <dataValidations count="7">
    <dataValidation sqref="B4" showDropDown="0" showInputMessage="0" showErrorMessage="0" allowBlank="0" type="list">
      <formula1>"SKT,KT,LG U+"</formula1>
    </dataValidation>
    <dataValidation sqref="B5" showDropDown="0" showInputMessage="0" showErrorMessage="0" allowBlank="0" type="list">
      <formula1>"100M,500M,1G"</formula1>
    </dataValidation>
    <dataValidation sqref="B7" showDropDown="0" showInputMessage="0" showErrorMessage="0" allowBlank="0" type="list">
      <formula1>"Y,N"</formula1>
    </dataValidation>
    <dataValidation sqref="B9" showDropDown="0" showInputMessage="0" showErrorMessage="0" allowBlank="0" type="list">
      <formula1>"0,1,2,3,4,5"</formula1>
    </dataValidation>
    <dataValidation sqref="B10" showDropDown="0" showInputMessage="0" showErrorMessage="0" allowBlank="0" type="list">
      <formula1>"1,2,3,4,5,6"</formula1>
    </dataValidation>
    <dataValidation sqref="B6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프리미엄,지니TV 베이직,지니TV 라이트,지니TV 에센스,지니TV 모든G,지니TV 디즈니+모든G,U+tv 실속형,U+tv 기본형,U+tv 프리미엄,U+tv 프리미엄 VOD"</formula1>
    </dataValidation>
    <dataValidation sqref="B8" showDropDown="0" showInputMessage="0" showErrorMessage="0" allowBlank="0" type="list">
      <formula1>"요즘가족결합,총액결합,정액결합,프리미엄 가족결합,참쉬운 가족결합,투게더,결합없음"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 (3사 공통)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 전체)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TV 단독</t>
        </is>
      </c>
      <c r="E3" s="4" t="inlineStr">
        <is>
          <t>결합할인</t>
        </is>
      </c>
      <c r="F3" s="4" t="inlineStr">
        <is>
          <t>인터넷 결합 시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 (WiFi 유/무)</t>
        </is>
      </c>
    </row>
    <row r="3">
      <c r="A3" s="4" t="inlineStr">
        <is>
          <t>통신사</t>
        </is>
      </c>
      <c r="B3" s="4" t="inlineStr">
        <is>
          <t>WiFi 유무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WiFi 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WiFi 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WiFi 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WiFi 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모든 속도 동일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 옵션</t>
        </is>
      </c>
    </row>
    <row r="3">
      <c r="A3" s="22" t="inlineStr">
        <is>
          <t>💬 기본값(isDefault) 선정 기준: 매장 판매량 1위 · 가격 대비 기능 균형 · 고객 선호 · 요금 계산 시 기본 적용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기본값 · SKT 표준 셋톱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일부 OTT(넷플릭스 등)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 · 가격 인상형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일체형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연동형 · 쿠팡/애플TV 특화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기본값 · KT 대표 모델 · AI 블루투스 스피커 일체 · 고객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 · 기본 기능만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 · 고가형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기본값 · LG U+ 표준 · AI 음향기술 탑재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 고급형</t>
        </is>
      </c>
    </row>
  </sheetData>
  <mergeCells count="1">
    <mergeCell ref="A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 옵션</t>
        </is>
      </c>
    </row>
    <row r="3">
      <c r="A3" s="22" t="inlineStr">
        <is>
          <t>💬 기본값 선정 기준: 속도별 단가가 낮은 표준 모델 · 가입 시 자동 지급 · 요금 계산 기본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기본값 · SKT 표준 WiFi · 속도 관계없이 1,100원 균일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지원 · 같은 요금이나 수요 부족으로 비활성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 사용자용 · 인터넷+TV 결합 시 3,300 할인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 · 기존 WiFi에 추가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기본값 · KT 표준 · 1G 속도 시 무료 제공 (요금 변동 없음)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무료, 500M만 유료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WiFi 증폭기 · 홈AX와 호환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최대 10Gbps 고급형 · 2.4GHz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GIGA WIFI 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2.4GHz + 6E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GIGA WIFI 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기본값 · LG U+ 전 속도 무료 · 대표 WiFi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500M+ 가입 시 기본 (동일 무료)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지원 · 500M+ 선택 가능</t>
        </is>
      </c>
    </row>
  </sheetData>
  <mergeCells count="1">
    <mergeCell ref="A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 (solo)</t>
        </is>
      </c>
      <c r="C3" s="4" t="inlineStr">
        <is>
          <t>결합 (combo)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</cols>
  <sheetData>
    <row r="1" ht="24" customHeight="1">
      <c r="A1" s="3" t="inlineStr">
        <is>
          <t>🎁 사은품 (원)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(총 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50만원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30만원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30만원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30만원</t>
        </is>
      </c>
      <c r="E7" s="5" t="inlineStr">
        <is>
          <t>-13,000원 (1~24M)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100만원</t>
        </is>
      </c>
      <c r="E8" s="5" t="inlineStr">
        <is>
          <t>-22,000원 (1~36M)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30만원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30만원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50만원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30만원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30만원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40만원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40만원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30만원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40만원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40만원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40만원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30만원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 더블혜택</t>
        </is>
      </c>
      <c r="D22" s="5" t="inlineStr">
        <is>
          <t>20만원</t>
        </is>
      </c>
      <c r="E22" s="5" t="inlineStr">
        <is>
          <t>5% 캐시백 (최대5천)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30만원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50만원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30만원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30만원</t>
        </is>
      </c>
      <c r="E26" s="5" t="inlineStr">
        <is>
          <t>통신료 25% 청구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70만원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30만원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30만원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23" t="inlineStr">
        <is>
          <t>🏷️ SKT 요즘가족결합</t>
        </is>
      </c>
    </row>
    <row r="3">
      <c r="A3" s="4" t="inlineStr">
        <is>
          <t>속도</t>
        </is>
      </c>
      <c r="B3" s="4" t="inlineStr">
        <is>
          <t>회선수</t>
        </is>
      </c>
      <c r="C3" s="4" t="inlineStr">
        <is>
          <t>휴대폰</t>
        </is>
      </c>
      <c r="D3" s="4" t="inlineStr">
        <is>
          <t>인터넷</t>
        </is>
      </c>
      <c r="E3" s="4" t="inlineStr">
        <is>
          <t>IPTV 추가</t>
        </is>
      </c>
      <c r="F3" s="4" t="inlineStr">
        <is>
          <t>총할인</t>
        </is>
      </c>
    </row>
    <row r="4">
      <c r="A4" s="24" t="inlineStr">
        <is>
          <t>100M</t>
        </is>
      </c>
      <c r="B4" s="24" t="n">
        <v>1</v>
      </c>
      <c r="C4" s="24" t="n">
        <v>3500</v>
      </c>
      <c r="D4" s="24" t="n">
        <v>4400</v>
      </c>
      <c r="E4" s="24" t="n">
        <v>1100</v>
      </c>
      <c r="F4" s="24" t="n">
        <v>9000</v>
      </c>
    </row>
    <row r="5">
      <c r="A5" s="24" t="inlineStr">
        <is>
          <t>100M</t>
        </is>
      </c>
      <c r="B5" s="24" t="n">
        <v>2</v>
      </c>
      <c r="C5" s="24" t="n">
        <v>7000</v>
      </c>
      <c r="D5" s="24" t="n">
        <v>4400</v>
      </c>
      <c r="E5" s="24" t="n">
        <v>1100</v>
      </c>
      <c r="F5" s="24" t="n">
        <v>12500</v>
      </c>
    </row>
    <row r="6">
      <c r="A6" s="24" t="inlineStr">
        <is>
          <t>100M</t>
        </is>
      </c>
      <c r="B6" s="24" t="n">
        <v>3</v>
      </c>
      <c r="C6" s="24" t="n">
        <v>18000</v>
      </c>
      <c r="D6" s="24" t="n">
        <v>4400</v>
      </c>
      <c r="E6" s="24" t="n">
        <v>1100</v>
      </c>
      <c r="F6" s="24" t="n">
        <v>23500</v>
      </c>
    </row>
    <row r="7">
      <c r="A7" s="24" t="inlineStr">
        <is>
          <t>100M</t>
        </is>
      </c>
      <c r="B7" s="24" t="n">
        <v>4</v>
      </c>
      <c r="C7" s="24" t="n">
        <v>18000</v>
      </c>
      <c r="D7" s="24" t="n">
        <v>4400</v>
      </c>
      <c r="E7" s="24" t="n">
        <v>1100</v>
      </c>
      <c r="F7" s="24" t="n">
        <v>23500</v>
      </c>
    </row>
    <row r="8">
      <c r="A8" s="24" t="inlineStr">
        <is>
          <t>100M</t>
        </is>
      </c>
      <c r="B8" s="24" t="n">
        <v>5</v>
      </c>
      <c r="C8" s="24" t="n">
        <v>18000</v>
      </c>
      <c r="D8" s="24" t="n">
        <v>4400</v>
      </c>
      <c r="E8" s="24" t="n">
        <v>1100</v>
      </c>
      <c r="F8" s="24" t="n">
        <v>23500</v>
      </c>
    </row>
    <row r="9">
      <c r="A9" s="24" t="inlineStr">
        <is>
          <t>500M</t>
        </is>
      </c>
      <c r="B9" s="24" t="n">
        <v>1</v>
      </c>
      <c r="C9" s="24" t="n">
        <v>3500</v>
      </c>
      <c r="D9" s="24" t="n">
        <v>11000</v>
      </c>
      <c r="E9" s="24" t="n">
        <v>1100</v>
      </c>
      <c r="F9" s="24" t="n">
        <v>15600</v>
      </c>
    </row>
    <row r="10">
      <c r="A10" s="24" t="inlineStr">
        <is>
          <t>500M</t>
        </is>
      </c>
      <c r="B10" s="24" t="n">
        <v>2</v>
      </c>
      <c r="C10" s="24" t="n">
        <v>7000</v>
      </c>
      <c r="D10" s="24" t="n">
        <v>11000</v>
      </c>
      <c r="E10" s="24" t="n">
        <v>1100</v>
      </c>
      <c r="F10" s="24" t="n">
        <v>19100</v>
      </c>
    </row>
    <row r="11">
      <c r="A11" s="24" t="inlineStr">
        <is>
          <t>500M</t>
        </is>
      </c>
      <c r="B11" s="24" t="n">
        <v>3</v>
      </c>
      <c r="C11" s="24" t="n">
        <v>18000</v>
      </c>
      <c r="D11" s="24" t="n">
        <v>11000</v>
      </c>
      <c r="E11" s="24" t="n">
        <v>1100</v>
      </c>
      <c r="F11" s="24" t="n">
        <v>30100</v>
      </c>
    </row>
    <row r="12">
      <c r="A12" s="24" t="inlineStr">
        <is>
          <t>500M</t>
        </is>
      </c>
      <c r="B12" s="24" t="n">
        <v>4</v>
      </c>
      <c r="C12" s="24" t="n">
        <v>24000</v>
      </c>
      <c r="D12" s="24" t="n">
        <v>11000</v>
      </c>
      <c r="E12" s="24" t="n">
        <v>1100</v>
      </c>
      <c r="F12" s="24" t="n">
        <v>36100</v>
      </c>
    </row>
    <row r="13">
      <c r="A13" s="24" t="inlineStr">
        <is>
          <t>500M</t>
        </is>
      </c>
      <c r="B13" s="24" t="n">
        <v>5</v>
      </c>
      <c r="C13" s="24" t="n">
        <v>24000</v>
      </c>
      <c r="D13" s="24" t="n">
        <v>11000</v>
      </c>
      <c r="E13" s="24" t="n">
        <v>1100</v>
      </c>
      <c r="F13" s="24" t="n">
        <v>36100</v>
      </c>
    </row>
    <row r="14">
      <c r="A14" s="24" t="inlineStr">
        <is>
          <t>1G</t>
        </is>
      </c>
      <c r="B14" s="24" t="n">
        <v>1</v>
      </c>
      <c r="C14" s="24" t="n">
        <v>3500</v>
      </c>
      <c r="D14" s="24" t="n">
        <v>13200</v>
      </c>
      <c r="E14" s="24" t="n">
        <v>1100</v>
      </c>
      <c r="F14" s="24" t="n">
        <v>17800</v>
      </c>
    </row>
    <row r="15">
      <c r="A15" s="24" t="inlineStr">
        <is>
          <t>1G</t>
        </is>
      </c>
      <c r="B15" s="24" t="n">
        <v>2</v>
      </c>
      <c r="C15" s="24" t="n">
        <v>7000</v>
      </c>
      <c r="D15" s="24" t="n">
        <v>13200</v>
      </c>
      <c r="E15" s="24" t="n">
        <v>1100</v>
      </c>
      <c r="F15" s="24" t="n">
        <v>21300</v>
      </c>
    </row>
    <row r="16">
      <c r="A16" s="24" t="inlineStr">
        <is>
          <t>1G</t>
        </is>
      </c>
      <c r="B16" s="24" t="n">
        <v>3</v>
      </c>
      <c r="C16" s="24" t="n">
        <v>18000</v>
      </c>
      <c r="D16" s="24" t="n">
        <v>13200</v>
      </c>
      <c r="E16" s="24" t="n">
        <v>1100</v>
      </c>
      <c r="F16" s="24" t="n">
        <v>32300</v>
      </c>
    </row>
    <row r="17">
      <c r="A17" s="24" t="inlineStr">
        <is>
          <t>1G</t>
        </is>
      </c>
      <c r="B17" s="24" t="n">
        <v>4</v>
      </c>
      <c r="C17" s="24" t="n">
        <v>24000</v>
      </c>
      <c r="D17" s="24" t="n">
        <v>13200</v>
      </c>
      <c r="E17" s="24" t="n">
        <v>1100</v>
      </c>
      <c r="F17" s="24" t="n">
        <v>38300</v>
      </c>
    </row>
    <row r="18">
      <c r="A18" s="24" t="inlineStr">
        <is>
          <t>1G</t>
        </is>
      </c>
      <c r="B18" s="24" t="n">
        <v>5</v>
      </c>
      <c r="C18" s="24" t="n">
        <v>24000</v>
      </c>
      <c r="D18" s="24" t="n">
        <v>13200</v>
      </c>
      <c r="E18" s="24" t="n">
        <v>1100</v>
      </c>
      <c r="F18" s="24" t="n">
        <v>38300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25" t="inlineStr">
        <is>
          <t>🏷️ KT 총액결합할인</t>
        </is>
      </c>
    </row>
    <row r="3">
      <c r="A3" s="4" t="inlineStr">
        <is>
          <t>속도</t>
        </is>
      </c>
      <c r="B3" s="4" t="inlineStr">
        <is>
          <t>구간</t>
        </is>
      </c>
      <c r="C3" s="4" t="inlineStr">
        <is>
          <t>인터넷</t>
        </is>
      </c>
      <c r="D3" s="4" t="inlineStr">
        <is>
          <t>휴대폰</t>
        </is>
      </c>
      <c r="E3" s="4" t="inlineStr">
        <is>
          <t>합계</t>
        </is>
      </c>
    </row>
    <row r="4">
      <c r="A4" s="26" t="inlineStr">
        <is>
          <t>100M</t>
        </is>
      </c>
      <c r="B4" s="26" t="inlineStr">
        <is>
          <t>22K 이하</t>
        </is>
      </c>
      <c r="C4" s="26" t="n">
        <v>1650</v>
      </c>
      <c r="D4" s="26" t="n">
        <v>0</v>
      </c>
      <c r="E4" s="26" t="n">
        <v>1650</v>
      </c>
    </row>
    <row r="5">
      <c r="A5" s="26" t="inlineStr">
        <is>
          <t>100M</t>
        </is>
      </c>
      <c r="B5" s="26" t="inlineStr">
        <is>
          <t>22K 이상</t>
        </is>
      </c>
      <c r="C5" s="26" t="n">
        <v>3300</v>
      </c>
      <c r="D5" s="26" t="n">
        <v>0</v>
      </c>
      <c r="E5" s="26" t="n">
        <v>3300</v>
      </c>
    </row>
    <row r="6">
      <c r="A6" s="26" t="inlineStr">
        <is>
          <t>100M</t>
        </is>
      </c>
      <c r="B6" s="26" t="inlineStr">
        <is>
          <t>64.9K 이상</t>
        </is>
      </c>
      <c r="C6" s="26" t="n">
        <v>5500</v>
      </c>
      <c r="D6" s="26" t="n">
        <v>3300</v>
      </c>
      <c r="E6" s="26" t="n">
        <v>8800</v>
      </c>
    </row>
    <row r="7">
      <c r="A7" s="26" t="inlineStr">
        <is>
          <t>100M</t>
        </is>
      </c>
      <c r="B7" s="26" t="inlineStr">
        <is>
          <t>108.9K 이상</t>
        </is>
      </c>
      <c r="C7" s="26" t="n">
        <v>5500</v>
      </c>
      <c r="D7" s="26" t="n">
        <v>14300</v>
      </c>
      <c r="E7" s="26" t="n">
        <v>19800</v>
      </c>
    </row>
    <row r="8">
      <c r="A8" s="26" t="inlineStr">
        <is>
          <t>100M</t>
        </is>
      </c>
      <c r="B8" s="26" t="inlineStr">
        <is>
          <t>141.9K 이상</t>
        </is>
      </c>
      <c r="C8" s="26" t="n">
        <v>5500</v>
      </c>
      <c r="D8" s="26" t="n">
        <v>18700</v>
      </c>
      <c r="E8" s="26" t="n">
        <v>24200</v>
      </c>
    </row>
    <row r="9">
      <c r="A9" s="26" t="inlineStr">
        <is>
          <t>100M</t>
        </is>
      </c>
      <c r="B9" s="26" t="inlineStr">
        <is>
          <t>174.9K 이상</t>
        </is>
      </c>
      <c r="C9" s="26" t="n">
        <v>5500</v>
      </c>
      <c r="D9" s="26" t="n">
        <v>23100</v>
      </c>
      <c r="E9" s="26" t="n">
        <v>28600</v>
      </c>
    </row>
    <row r="10">
      <c r="A10" s="26" t="inlineStr">
        <is>
          <t>500M</t>
        </is>
      </c>
      <c r="B10" s="26" t="inlineStr">
        <is>
          <t>22K 이하</t>
        </is>
      </c>
      <c r="C10" s="26" t="n">
        <v>2200</v>
      </c>
      <c r="D10" s="26" t="n">
        <v>0</v>
      </c>
      <c r="E10" s="26" t="n">
        <v>2200</v>
      </c>
    </row>
    <row r="11">
      <c r="A11" s="26" t="inlineStr">
        <is>
          <t>500M</t>
        </is>
      </c>
      <c r="B11" s="26" t="inlineStr">
        <is>
          <t>22K 이상</t>
        </is>
      </c>
      <c r="C11" s="26" t="n">
        <v>5500</v>
      </c>
      <c r="D11" s="26" t="n">
        <v>0</v>
      </c>
      <c r="E11" s="26" t="n">
        <v>5500</v>
      </c>
    </row>
    <row r="12">
      <c r="A12" s="26" t="inlineStr">
        <is>
          <t>500M</t>
        </is>
      </c>
      <c r="B12" s="26" t="inlineStr">
        <is>
          <t>64.9K 이상</t>
        </is>
      </c>
      <c r="C12" s="26" t="n">
        <v>5500</v>
      </c>
      <c r="D12" s="26" t="n">
        <v>5500</v>
      </c>
      <c r="E12" s="26" t="n">
        <v>11000</v>
      </c>
    </row>
    <row r="13">
      <c r="A13" s="26" t="inlineStr">
        <is>
          <t>500M</t>
        </is>
      </c>
      <c r="B13" s="26" t="inlineStr">
        <is>
          <t>108.9K 이상</t>
        </is>
      </c>
      <c r="C13" s="26" t="n">
        <v>5500</v>
      </c>
      <c r="D13" s="26" t="n">
        <v>16610</v>
      </c>
      <c r="E13" s="26" t="n">
        <v>22110</v>
      </c>
    </row>
    <row r="14">
      <c r="A14" s="26" t="inlineStr">
        <is>
          <t>500M</t>
        </is>
      </c>
      <c r="B14" s="26" t="inlineStr">
        <is>
          <t>141.9K 이상</t>
        </is>
      </c>
      <c r="C14" s="26" t="n">
        <v>5500</v>
      </c>
      <c r="D14" s="26" t="n">
        <v>22110</v>
      </c>
      <c r="E14" s="26" t="n">
        <v>27610</v>
      </c>
    </row>
    <row r="15">
      <c r="A15" s="26" t="inlineStr">
        <is>
          <t>500M</t>
        </is>
      </c>
      <c r="B15" s="26" t="inlineStr">
        <is>
          <t>174.9K 이상</t>
        </is>
      </c>
      <c r="C15" s="26" t="n">
        <v>5500</v>
      </c>
      <c r="D15" s="26" t="n">
        <v>27610</v>
      </c>
      <c r="E15" s="26" t="n">
        <v>33110</v>
      </c>
    </row>
    <row r="16">
      <c r="A16" s="26" t="inlineStr">
        <is>
          <t>1G</t>
        </is>
      </c>
      <c r="B16" s="26" t="inlineStr">
        <is>
          <t>22K 이하</t>
        </is>
      </c>
      <c r="C16" s="26" t="n">
        <v>2200</v>
      </c>
      <c r="D16" s="26" t="n">
        <v>0</v>
      </c>
      <c r="E16" s="26" t="n">
        <v>2200</v>
      </c>
    </row>
    <row r="17">
      <c r="A17" s="26" t="inlineStr">
        <is>
          <t>1G</t>
        </is>
      </c>
      <c r="B17" s="26" t="inlineStr">
        <is>
          <t>22K 이상</t>
        </is>
      </c>
      <c r="C17" s="26" t="n">
        <v>5500</v>
      </c>
      <c r="D17" s="26" t="n">
        <v>0</v>
      </c>
      <c r="E17" s="26" t="n">
        <v>5500</v>
      </c>
    </row>
    <row r="18">
      <c r="A18" s="26" t="inlineStr">
        <is>
          <t>1G</t>
        </is>
      </c>
      <c r="B18" s="26" t="inlineStr">
        <is>
          <t>64.9K 이상</t>
        </is>
      </c>
      <c r="C18" s="26" t="n">
        <v>5500</v>
      </c>
      <c r="D18" s="26" t="n">
        <v>5500</v>
      </c>
      <c r="E18" s="26" t="n">
        <v>11000</v>
      </c>
    </row>
    <row r="19">
      <c r="A19" s="26" t="inlineStr">
        <is>
          <t>1G</t>
        </is>
      </c>
      <c r="B19" s="26" t="inlineStr">
        <is>
          <t>108.9K 이상</t>
        </is>
      </c>
      <c r="C19" s="26" t="n">
        <v>5500</v>
      </c>
      <c r="D19" s="26" t="n">
        <v>16610</v>
      </c>
      <c r="E19" s="26" t="n">
        <v>22110</v>
      </c>
    </row>
    <row r="20">
      <c r="A20" s="26" t="inlineStr">
        <is>
          <t>1G</t>
        </is>
      </c>
      <c r="B20" s="26" t="inlineStr">
        <is>
          <t>141.9K 이상</t>
        </is>
      </c>
      <c r="C20" s="26" t="n">
        <v>5500</v>
      </c>
      <c r="D20" s="26" t="n">
        <v>22110</v>
      </c>
      <c r="E20" s="26" t="n">
        <v>27610</v>
      </c>
    </row>
    <row r="21">
      <c r="A21" s="26" t="inlineStr">
        <is>
          <t>1G</t>
        </is>
      </c>
      <c r="B21" s="26" t="inlineStr">
        <is>
          <t>174.9K 이상</t>
        </is>
      </c>
      <c r="C21" s="26" t="n">
        <v>5500</v>
      </c>
      <c r="D21" s="26" t="n">
        <v>27610</v>
      </c>
      <c r="E21" s="26" t="n">
        <v>33110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25" t="inlineStr">
        <is>
          <t>🏷️ KT 정액결합할인</t>
        </is>
      </c>
    </row>
    <row r="3">
      <c r="A3" s="4" t="inlineStr">
        <is>
          <t>구간</t>
        </is>
      </c>
      <c r="B3" s="4" t="inlineStr">
        <is>
          <t>인터넷</t>
        </is>
      </c>
      <c r="C3" s="4" t="inlineStr">
        <is>
          <t>휴대폰</t>
        </is>
      </c>
      <c r="D3" s="4" t="inlineStr">
        <is>
          <t>합계</t>
        </is>
      </c>
    </row>
    <row r="4">
      <c r="A4" s="26" t="inlineStr">
        <is>
          <t>37K 이하</t>
        </is>
      </c>
      <c r="B4" s="26" t="n">
        <v>5500</v>
      </c>
      <c r="C4" s="26" t="n">
        <v>0</v>
      </c>
      <c r="D4" s="26" t="n">
        <v>5500</v>
      </c>
    </row>
    <row r="5">
      <c r="A5" s="26" t="inlineStr">
        <is>
          <t>37K 이상</t>
        </is>
      </c>
      <c r="B5" s="26" t="n">
        <v>5500</v>
      </c>
      <c r="C5" s="26" t="n">
        <v>3000</v>
      </c>
      <c r="D5" s="26" t="n">
        <v>8500</v>
      </c>
    </row>
    <row r="6">
      <c r="A6" s="26" t="inlineStr">
        <is>
          <t>61K 이상</t>
        </is>
      </c>
      <c r="B6" s="26" t="n">
        <v>5500</v>
      </c>
      <c r="C6" s="26" t="n">
        <v>5000</v>
      </c>
      <c r="D6" s="26" t="n">
        <v>10500</v>
      </c>
    </row>
    <row r="7">
      <c r="A7" s="26" t="inlineStr">
        <is>
          <t>77K 이상</t>
        </is>
      </c>
      <c r="B7" s="26" t="n">
        <v>5500</v>
      </c>
      <c r="C7" s="26" t="n">
        <v>7000</v>
      </c>
      <c r="D7" s="26" t="n">
        <v>12500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4" customWidth="1" min="4" max="4"/>
  </cols>
  <sheetData>
    <row r="1" ht="24" customHeight="1">
      <c r="A1" s="27" t="inlineStr">
        <is>
          <t>💎 KT 프리미엄 가족결합</t>
        </is>
      </c>
    </row>
    <row r="3">
      <c r="A3" s="22" t="inlineStr">
        <is>
          <t>자격: 77K↑ 요금제 2회선 이상 | 대표자 총액결합만 | 인터넷 -5,500 고정</t>
        </is>
      </c>
    </row>
    <row r="5">
      <c r="A5" s="4" t="inlineStr">
        <is>
          <t>월정액</t>
        </is>
      </c>
      <c r="B5" s="4" t="inlineStr">
        <is>
          <t>요금제명</t>
        </is>
      </c>
      <c r="C5" s="4" t="inlineStr">
        <is>
          <t>할인액</t>
        </is>
      </c>
      <c r="D5" s="4" t="inlineStr">
        <is>
          <t>비율</t>
        </is>
      </c>
    </row>
    <row r="6">
      <c r="A6" s="28" t="n">
        <v>77000</v>
      </c>
      <c r="B6" s="28" t="inlineStr">
        <is>
          <t>77,000원 (임계값)</t>
        </is>
      </c>
      <c r="C6" s="28" t="n">
        <v>19250</v>
      </c>
      <c r="D6" s="28" t="inlineStr">
        <is>
          <t>≈25%</t>
        </is>
      </c>
    </row>
    <row r="7">
      <c r="A7" s="28" t="n">
        <v>80000</v>
      </c>
      <c r="B7" s="28" t="inlineStr">
        <is>
          <t>80,000원 (5G 슈퍼플랜 베이직)</t>
        </is>
      </c>
      <c r="C7" s="28" t="n">
        <v>20000</v>
      </c>
      <c r="D7" s="28" t="inlineStr">
        <is>
          <t>25%</t>
        </is>
      </c>
    </row>
    <row r="8">
      <c r="A8" s="28" t="n">
        <v>87890</v>
      </c>
      <c r="B8" s="28" t="inlineStr">
        <is>
          <t>87,890원 (데이터선택 87.8)</t>
        </is>
      </c>
      <c r="C8" s="28" t="n">
        <v>22000</v>
      </c>
      <c r="D8" s="28" t="inlineStr">
        <is>
          <t>≈25%</t>
        </is>
      </c>
    </row>
    <row r="9">
      <c r="A9" s="28" t="n">
        <v>89000</v>
      </c>
      <c r="B9" s="28" t="inlineStr">
        <is>
          <t>89,000원 (데이터ON 프리미엄)</t>
        </is>
      </c>
      <c r="C9" s="28" t="n">
        <v>22250</v>
      </c>
      <c r="D9" s="28" t="inlineStr">
        <is>
          <t>25%</t>
        </is>
      </c>
    </row>
    <row r="10">
      <c r="A10" s="28" t="n">
        <v>90000</v>
      </c>
      <c r="B10" s="28" t="inlineStr">
        <is>
          <t>90,000원 (슈퍼플랜 베이직 Plus/초이스)</t>
        </is>
      </c>
      <c r="C10" s="28" t="n">
        <v>22500</v>
      </c>
      <c r="D10" s="28" t="inlineStr">
        <is>
          <t>25%</t>
        </is>
      </c>
    </row>
    <row r="11">
      <c r="A11" s="28" t="n">
        <v>100000</v>
      </c>
      <c r="B11" s="28" t="inlineStr">
        <is>
          <t>100,000원 (슈퍼플랜 스페셜)</t>
        </is>
      </c>
      <c r="C11" s="28" t="n">
        <v>25000</v>
      </c>
      <c r="D11" s="28" t="inlineStr">
        <is>
          <t>25%</t>
        </is>
      </c>
    </row>
    <row r="12">
      <c r="A12" s="28" t="n">
        <v>109000</v>
      </c>
      <c r="B12" s="28" t="inlineStr">
        <is>
          <t>109,000원 (데이터선택 109)</t>
        </is>
      </c>
      <c r="C12" s="28" t="n">
        <v>27500</v>
      </c>
      <c r="D12" s="28" t="inlineStr">
        <is>
          <t>≈25%</t>
        </is>
      </c>
    </row>
    <row r="13">
      <c r="A13" s="28" t="n">
        <v>110000</v>
      </c>
      <c r="B13" s="28" t="inlineStr">
        <is>
          <t>110,000원 (슈퍼플랜 스페셜 Plus/초이스)</t>
        </is>
      </c>
      <c r="C13" s="28" t="n">
        <v>27500</v>
      </c>
      <c r="D13" s="28" t="inlineStr">
        <is>
          <t>25%</t>
        </is>
      </c>
    </row>
    <row r="14">
      <c r="A14" s="28" t="n">
        <v>130000</v>
      </c>
      <c r="B14" s="28" t="inlineStr">
        <is>
          <t>130,000원 (슈퍼플랜 프리미엄/초이스)</t>
        </is>
      </c>
      <c r="C14" s="28" t="n">
        <v>32500</v>
      </c>
      <c r="D14" s="28" t="inlineStr">
        <is>
          <t>25%</t>
        </is>
      </c>
    </row>
  </sheetData>
  <mergeCells count="1">
    <mergeCell ref="A3:D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4" customHeight="1">
      <c r="A1" s="29" t="inlineStr">
        <is>
          <t>🏷️ LG U+ 참쉬운가족결합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0" t="inlineStr">
        <is>
          <t>인터넷 할인 (3년)</t>
        </is>
      </c>
      <c r="B4" s="30" t="n">
        <v>5500</v>
      </c>
      <c r="C4" s="30" t="n">
        <v>9900</v>
      </c>
      <c r="D4" s="30" t="n">
        <v>13200</v>
      </c>
    </row>
    <row r="6">
      <c r="A6" s="31" t="inlineStr">
        <is>
          <t>휴대폰 할인 매트릭스 (인당)</t>
        </is>
      </c>
    </row>
    <row r="7">
      <c r="A7" s="4" t="inlineStr">
        <is>
          <t>요금구간</t>
        </is>
      </c>
      <c r="B7" s="4" t="inlineStr">
        <is>
          <t>2회선</t>
        </is>
      </c>
      <c r="C7" s="4" t="inlineStr">
        <is>
          <t>3회선</t>
        </is>
      </c>
      <c r="D7" s="4" t="inlineStr">
        <is>
          <t>4+회선</t>
        </is>
      </c>
    </row>
    <row r="8">
      <c r="A8" s="30" t="inlineStr">
        <is>
          <t>69K 미만</t>
        </is>
      </c>
      <c r="B8" s="30" t="n">
        <v>2200</v>
      </c>
      <c r="C8" s="30" t="n">
        <v>3300</v>
      </c>
      <c r="D8" s="30" t="n">
        <v>4400</v>
      </c>
    </row>
    <row r="9">
      <c r="A9" s="30" t="inlineStr">
        <is>
          <t>69K 이상</t>
        </is>
      </c>
      <c r="B9" s="30" t="n">
        <v>3300</v>
      </c>
      <c r="C9" s="30" t="n">
        <v>5500</v>
      </c>
      <c r="D9" s="30" t="n">
        <v>6600</v>
      </c>
    </row>
    <row r="10">
      <c r="A10" s="30" t="inlineStr">
        <is>
          <t>88K 이상</t>
        </is>
      </c>
      <c r="B10" s="30" t="n">
        <v>4400</v>
      </c>
      <c r="C10" s="30" t="n">
        <v>6600</v>
      </c>
      <c r="D10" s="30" t="n">
        <v>8800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29" t="inlineStr">
        <is>
          <t>🏷️ LG U+ 투게더 결합 (85K↑)</t>
        </is>
      </c>
    </row>
    <row r="3">
      <c r="A3" s="22" t="inlineStr">
        <is>
          <t>자격: 5G 85K↑ + 500M+ 인터넷 (100M 결합 불가)</t>
        </is>
      </c>
    </row>
    <row r="5">
      <c r="A5" s="4" t="inlineStr">
        <is>
          <t>구분</t>
        </is>
      </c>
      <c r="B5" s="4" t="inlineStr">
        <is>
          <t>100M</t>
        </is>
      </c>
      <c r="C5" s="4" t="inlineStr">
        <is>
          <t>500M</t>
        </is>
      </c>
      <c r="D5" s="4" t="inlineStr">
        <is>
          <t>1G</t>
        </is>
      </c>
    </row>
    <row r="6">
      <c r="A6" s="30" t="inlineStr">
        <is>
          <t>인터넷 할인</t>
        </is>
      </c>
      <c r="B6" s="30" t="inlineStr">
        <is>
          <t>불가</t>
        </is>
      </c>
      <c r="C6" s="30" t="n">
        <v>11000</v>
      </c>
      <c r="D6" s="30" t="n">
        <v>11000</v>
      </c>
    </row>
    <row r="8">
      <c r="A8" s="4" t="inlineStr">
        <is>
          <t>회선수</t>
        </is>
      </c>
      <c r="B8" s="4" t="inlineStr">
        <is>
          <t>휴대폰 할인 (인당)</t>
        </is>
      </c>
    </row>
    <row r="9">
      <c r="A9" s="30" t="inlineStr">
        <is>
          <t>2회선</t>
        </is>
      </c>
      <c r="B9" s="30" t="n">
        <v>10000</v>
      </c>
    </row>
    <row r="10">
      <c r="A10" s="30" t="inlineStr">
        <is>
          <t>3회선</t>
        </is>
      </c>
      <c r="B10" s="30" t="n">
        <v>14000</v>
      </c>
    </row>
    <row r="11">
      <c r="A11" s="30" t="inlineStr">
        <is>
          <t>4~5회선</t>
        </is>
      </c>
      <c r="B11" s="30" t="n">
        <v>20000</v>
      </c>
    </row>
  </sheetData>
  <mergeCells count="1">
    <mergeCell ref="A3:D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 (D 객체)</t>
        </is>
      </c>
    </row>
    <row r="3">
      <c r="A3" s="32" t="inlineStr">
        <is>
          <t>interface CarrierData {</t>
        </is>
      </c>
    </row>
    <row r="4">
      <c r="A4" s="32" t="inlineStr">
        <is>
          <t xml:space="preserve">  name: string; prefix: string;</t>
        </is>
      </c>
    </row>
    <row r="5">
      <c r="A5" s="32" t="inlineStr">
        <is>
          <t xml:space="preserve">  internet: Record&lt;"100M"|"500M"|"1G", number&gt;;</t>
        </is>
      </c>
    </row>
    <row r="6">
      <c r="A6" s="32" t="inlineStr">
        <is>
          <t xml:space="preserve">  wifiCost?: number; wifiPrice?: Record&lt;Speed, number&gt;;</t>
        </is>
      </c>
    </row>
    <row r="7">
      <c r="A7" s="32" t="inlineStr">
        <is>
          <t xml:space="preserve">  setTopOptions: SetTop[]; wifiOptions: WiFi[];</t>
        </is>
      </c>
    </row>
    <row r="8">
      <c r="A8" s="32" t="inlineStr">
        <is>
          <t xml:space="preserve">  tvInternetNoWifi: Record&lt;Speed, number&gt;;</t>
        </is>
      </c>
    </row>
    <row r="9">
      <c r="A9" s="32" t="inlineStr">
        <is>
          <t xml:space="preserve">  tvInternetWithWifi: Record&lt;Speed, number&gt;;</t>
        </is>
      </c>
    </row>
    <row r="10">
      <c r="A10" s="32" t="inlineStr">
        <is>
          <t xml:space="preserve">  tv: TVProduct[];</t>
        </is>
      </c>
    </row>
    <row r="11">
      <c r="A11" s="32" t="inlineStr">
        <is>
          <t xml:space="preserve">  install: { solo: number; combo: number };</t>
        </is>
      </c>
    </row>
    <row r="12">
      <c r="A12" s="32" t="inlineStr">
        <is>
          <t xml:space="preserve">  gift: { solo: SpeedMap; combo: SpeedMap };</t>
        </is>
      </c>
    </row>
    <row r="13">
      <c r="A13" s="32" t="inlineStr">
        <is>
          <t xml:space="preserve">  bundle: BundleConfig;</t>
        </is>
      </c>
    </row>
    <row r="14">
      <c r="A14" s="32" t="inlineStr">
        <is>
          <t>}</t>
        </is>
      </c>
    </row>
    <row r="15">
      <c r="A15" s="32" t="inlineStr"/>
    </row>
    <row r="16">
      <c r="A16" s="32" t="inlineStr">
        <is>
          <t>interface TVProduct { n: string; p: number; dc: number; }</t>
        </is>
      </c>
    </row>
    <row r="17">
      <c r="A17" s="32" t="inlineStr">
        <is>
          <t>interface SetTop { id, name, fee, isDefault?, active }</t>
        </is>
      </c>
    </row>
    <row r="18">
      <c r="A18" s="32" t="inlineStr">
        <is>
          <t>interface WiFi { id, name, fees: SpeedMap, isDefault?, active }</t>
        </is>
      </c>
    </row>
    <row r="19">
      <c r="A19" s="32" t="inlineStr"/>
    </row>
    <row r="20">
      <c r="A20" s="32" t="inlineStr">
        <is>
          <t>// BundleConfig — 통신사별 상이:</t>
        </is>
      </c>
    </row>
    <row r="21">
      <c r="A21" s="32" t="inlineStr">
        <is>
          <t>// SKT: { family: { internet, iptv, mobilePerBySpeed } }</t>
        </is>
      </c>
    </row>
    <row r="22">
      <c r="A22" s="32" t="inlineStr">
        <is>
          <t>// KT: { ranges_total, total, ranges_fixed, fixed, premium }</t>
        </is>
      </c>
    </row>
    <row r="23">
      <c r="A23" s="32" t="inlineStr">
        <is>
          <t>// LGU: { chweyswun: { internet, planLabels, mobile[][]} , together: { internet, mobile[] } }</t>
        </is>
      </c>
    </row>
    <row r="24">
      <c r="A24" s="32" t="inlineStr"/>
    </row>
    <row r="25">
      <c r="A25" s="32" t="inlineStr">
        <is>
          <t>type Speed = "100M" | "500M" | "1G";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월 요금 계산 공식</t>
        </is>
      </c>
    </row>
    <row r="3">
      <c r="A3" s="33" t="inlineStr">
        <is>
          <t>⚠️ 3사 결합할인 적용 방식 핵심 차이</t>
        </is>
      </c>
    </row>
    <row r="4">
      <c r="A4" s="34" t="inlineStr">
        <is>
          <t>• SKT 요즘가족결합: 단독가 REPLACE (요즘우리집 대체) → tvInternet 값 사용 안함</t>
        </is>
      </c>
    </row>
    <row r="5">
      <c r="A5" s="34" t="inlineStr">
        <is>
          <t>• KT 총액/정액: 기본 TV결합할인 + 추가할인 STACK (중복 적용)</t>
        </is>
      </c>
    </row>
    <row r="6">
      <c r="A6" s="34" t="inlineStr">
        <is>
          <t>• KT 프리미엄: 대표자+일반구성원은 총액결합, 77K↑ 구성원은 프리미엄 (독립)</t>
        </is>
      </c>
    </row>
    <row r="7">
      <c r="A7" s="34" t="inlineStr">
        <is>
          <t>• LG U+ 참쉬운: 단독가 REPLACE</t>
        </is>
      </c>
    </row>
    <row r="8">
      <c r="A8" s="34" t="inlineStr">
        <is>
          <t>• LG U+ 투게더: 단독가 REPLACE + 100M 결합 불가</t>
        </is>
      </c>
    </row>
    <row r="10" ht="24" customHeight="1">
      <c r="A10" s="3" t="inlineStr">
        <is>
          <t>계산 단계 (공식)</t>
        </is>
      </c>
    </row>
    <row r="12">
      <c r="A12" s="35" t="inlineStr">
        <is>
          <t>기본 월요금 (결합없음)</t>
        </is>
      </c>
      <c r="B12" s="36" t="inlineStr">
        <is>
          <t>base = (TV있?(tvInetWithWifi[sp]+tvFinal+setTop):(internet[sp]+wifiFee))</t>
        </is>
      </c>
    </row>
    <row r="13">
      <c r="A13" s="35" t="inlineStr">
        <is>
          <t>SKT REPLACE</t>
        </is>
      </c>
      <c r="B13" s="36" t="inlineStr">
        <is>
          <t>bundleFee = (internet[sp]+wifiFee - famInet) + (tvP - tvDc - iptv) + setTop</t>
        </is>
      </c>
    </row>
    <row r="14">
      <c r="A14" s="35" t="inlineStr">
        <is>
          <t>KT STACK</t>
        </is>
      </c>
      <c r="B14" s="36" t="inlineStr">
        <is>
          <t>bundleFee = (tvInet(wifi) - totalInet) + (tvP - tvDc) + setTop</t>
        </is>
      </c>
    </row>
    <row r="15">
      <c r="A15" s="35" t="inlineStr">
        <is>
          <t>LGU REPLACE</t>
        </is>
      </c>
      <c r="B15" s="36" t="inlineStr">
        <is>
          <t>bundleFee = (internet[sp] - chwInet) + (tvP - tvDc) + setTop</t>
        </is>
      </c>
    </row>
    <row r="16">
      <c r="A16" s="35" t="inlineStr">
        <is>
          <t>혜택가</t>
        </is>
      </c>
      <c r="B16" s="36" t="inlineStr">
        <is>
          <t>finalFee = bundleFee - 휴대폰_고지서_별도_차감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2026-04-21T03:13:27Z</dcterms:created>
  <dcterms:modified xsi:type="dcterms:W3CDTF">2026-04-21T03:13:27Z</dcterms:modified>
</cp:coreProperties>
</file>