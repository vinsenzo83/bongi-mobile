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안내" sheetId="1" state="visible" r:id="rId1"/>
    <sheet xmlns:r="http://schemas.openxmlformats.org/officeDocument/2006/relationships" name="① 무선(휴대폰)" sheetId="2" state="visible" r:id="rId2"/>
    <sheet xmlns:r="http://schemas.openxmlformats.org/officeDocument/2006/relationships" name="② 유심" sheetId="3" state="visible" r:id="rId3"/>
    <sheet xmlns:r="http://schemas.openxmlformats.org/officeDocument/2006/relationships" name="③ 인터넷+TV 사은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원&quot;"/>
  </numFmts>
  <fonts count="32">
    <font>
      <name val="Calibri"/>
      <family val="2"/>
      <color theme="1"/>
      <sz val="11"/>
      <scheme val="minor"/>
    </font>
    <font>
      <name val="맑은 고딕"/>
      <b val="1"/>
      <color rgb="0078350f"/>
      <sz val="17"/>
    </font>
    <font>
      <name val="맑은 고딕"/>
      <color rgb="00333333"/>
      <sz val="11"/>
    </font>
    <font>
      <name val="맑은 고딕"/>
      <b val="1"/>
      <color rgb="001a2744"/>
      <sz val="12"/>
    </font>
    <font>
      <name val="맑은 고딕"/>
      <b val="1"/>
      <color rgb="0078350f"/>
      <sz val="14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sz val="10"/>
    </font>
    <font>
      <name val="맑은 고딕"/>
      <b val="1"/>
      <color rgb="00059669"/>
      <sz val="10"/>
    </font>
    <font>
      <name val="맑은 고딕"/>
      <b val="1"/>
      <color rgb="00dc2626"/>
      <sz val="10"/>
    </font>
    <font>
      <name val="맑은 고딕"/>
      <color rgb="0078350f"/>
      <sz val="10"/>
    </font>
    <font>
      <b val="1"/>
      <color rgb="00FFFFFF"/>
      <sz val="12"/>
    </font>
    <font>
      <b val="1"/>
      <color rgb="00FFFFFF"/>
    </font>
    <font>
      <b val="1"/>
      <color rgb="00dc2626"/>
    </font>
    <font>
      <b val="1"/>
      <color rgb="006366f1"/>
    </font>
    <font>
      <b val="1"/>
      <color rgb="00059669"/>
    </font>
    <font>
      <b val="1"/>
      <color rgb="0092400e"/>
    </font>
    <font>
      <b val="1"/>
      <color rgb="002563eb"/>
    </font>
    <font>
      <b val="1"/>
      <color rgb="00be185d"/>
    </font>
    <font>
      <i val="1"/>
      <color rgb="006b7280"/>
      <sz val="10"/>
    </font>
    <font>
      <b val="1"/>
      <color rgb="001F4E79"/>
      <sz val="12"/>
    </font>
    <font>
      <b val="1"/>
      <color rgb="00FFFFFF"/>
      <sz val="10"/>
    </font>
    <font>
      <b val="1"/>
      <color rgb="003617CE"/>
    </font>
    <font>
      <b val="1"/>
      <color rgb="00DC2626"/>
    </font>
    <font>
      <b val="1"/>
      <color rgb="001F4E79"/>
    </font>
    <font>
      <color rgb="00666666"/>
      <sz val="9"/>
    </font>
    <font>
      <b val="1"/>
      <color rgb="003617CE"/>
      <sz val="11"/>
    </font>
    <font>
      <b val="1"/>
      <color rgb="002563EB"/>
    </font>
    <font>
      <b val="1"/>
      <color rgb="0010B981"/>
    </font>
    <font>
      <b val="1"/>
      <color rgb="001A2744"/>
    </font>
    <font>
      <b val="1"/>
      <color rgb="00B45309"/>
    </font>
    <font>
      <b val="1"/>
      <color rgb="00B45309"/>
      <sz val="10"/>
    </font>
  </fonts>
  <fills count="25">
    <fill>
      <patternFill/>
    </fill>
    <fill>
      <patternFill patternType="gray125"/>
    </fill>
    <fill>
      <patternFill patternType="solid">
        <fgColor rgb="00f7c94f"/>
        <bgColor rgb="00f7c94f"/>
      </patternFill>
    </fill>
    <fill>
      <patternFill patternType="solid">
        <fgColor rgb="001a2744"/>
        <bgColor rgb="001a2744"/>
      </patternFill>
    </fill>
    <fill>
      <patternFill patternType="solid">
        <fgColor rgb="00fee2e2"/>
        <bgColor rgb="00fee2e2"/>
      </patternFill>
    </fill>
    <fill>
      <patternFill patternType="solid">
        <fgColor rgb="00dbeafe"/>
        <bgColor rgb="00dbeafe"/>
      </patternFill>
    </fill>
    <fill>
      <patternFill patternType="solid">
        <fgColor rgb="00fce7f3"/>
        <bgColor rgb="00fce7f3"/>
      </patternFill>
    </fill>
    <fill>
      <patternFill patternType="solid">
        <fgColor rgb="00fef3c7"/>
        <bgColor rgb="00fef3c7"/>
      </patternFill>
    </fill>
    <fill>
      <patternFill patternType="solid">
        <fgColor rgb="00dc2626"/>
        <bgColor rgb="00dc2626"/>
      </patternFill>
    </fill>
    <fill>
      <patternFill patternType="solid">
        <fgColor rgb="002563eb"/>
        <bgColor rgb="002563eb"/>
      </patternFill>
    </fill>
    <fill>
      <patternFill patternType="solid">
        <fgColor rgb="00e40981"/>
        <bgColor rgb="00e40981"/>
      </patternFill>
    </fill>
    <fill>
      <patternFill patternType="solid">
        <fgColor rgb="00059669"/>
      </patternFill>
    </fill>
    <fill>
      <patternFill patternType="solid">
        <fgColor rgb="001f2937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ce7f3"/>
      </patternFill>
    </fill>
    <fill>
      <patternFill patternType="solid">
        <fgColor rgb="001F4E79"/>
        <bgColor rgb="001F4E79"/>
      </patternFill>
    </fill>
    <fill>
      <patternFill patternType="solid">
        <fgColor rgb="00E8F4FD"/>
        <bgColor rgb="00E8F4FD"/>
      </patternFill>
    </fill>
    <fill>
      <patternFill patternType="solid">
        <fgColor rgb="002563EB"/>
        <bgColor rgb="002563EB"/>
      </patternFill>
    </fill>
    <fill>
      <patternFill patternType="solid">
        <fgColor rgb="00059669"/>
        <bgColor rgb="00059669"/>
      </patternFill>
    </fill>
    <fill>
      <patternFill patternType="solid">
        <fgColor rgb="00DBEAFE"/>
        <bgColor rgb="00DBEAFE"/>
      </patternFill>
    </fill>
    <fill>
      <patternFill patternType="solid">
        <fgColor rgb="00ECFDF5"/>
        <bgColor rgb="00ECFDF5"/>
      </patternFill>
    </fill>
    <fill>
      <patternFill patternType="solid">
        <fgColor rgb="00D1FAE5"/>
        <bgColor rgb="00D1FAE5"/>
      </patternFill>
    </fill>
    <fill>
      <patternFill patternType="solid">
        <fgColor rgb="00B45309"/>
        <bgColor rgb="00B45309"/>
      </patternFill>
    </fill>
    <fill>
      <patternFill patternType="solid">
        <fgColor rgb="00FEF3C7"/>
        <bgColor rgb="00FEF3C7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10" fillId="7" borderId="0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164" fontId="9" fillId="0" borderId="1" applyAlignment="1" pivotButton="0" quotePrefix="0" xfId="0">
      <alignment horizontal="center" vertical="center"/>
    </xf>
    <xf numFmtId="0" fontId="11" fillId="11" borderId="0" applyAlignment="1" pivotButton="0" quotePrefix="0" xfId="0">
      <alignment horizontal="center" vertical="center"/>
    </xf>
    <xf numFmtId="0" fontId="12" fillId="1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3" fillId="13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164" fontId="15" fillId="0" borderId="0" applyAlignment="1" pivotButton="0" quotePrefix="0" xfId="0">
      <alignment horizontal="right"/>
    </xf>
    <xf numFmtId="0" fontId="16" fillId="0" borderId="0" applyAlignment="1" pivotButton="0" quotePrefix="0" xfId="0">
      <alignment horizontal="center"/>
    </xf>
    <xf numFmtId="0" fontId="17" fillId="14" borderId="0" applyAlignment="1" pivotButton="0" quotePrefix="0" xfId="0">
      <alignment horizontal="center"/>
    </xf>
    <xf numFmtId="0" fontId="18" fillId="15" borderId="0" applyAlignment="1" pivotButton="0" quotePrefix="0" xfId="0">
      <alignment horizontal="center"/>
    </xf>
    <xf numFmtId="0" fontId="19" fillId="0" borderId="0" pivotButton="0" quotePrefix="0" xfId="0"/>
    <xf numFmtId="0" fontId="26" fillId="0" borderId="0" pivotButton="0" quotePrefix="0" xfId="0"/>
    <xf numFmtId="0" fontId="20" fillId="0" borderId="0" pivotButton="0" quotePrefix="0" xfId="0"/>
    <xf numFmtId="0" fontId="21" fillId="16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22" fillId="0" borderId="2" applyAlignment="1" pivotButton="0" quotePrefix="0" xfId="0">
      <alignment horizontal="center" vertical="center"/>
    </xf>
    <xf numFmtId="0" fontId="15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/>
    </xf>
    <xf numFmtId="0" fontId="24" fillId="17" borderId="2" applyAlignment="1" pivotButton="0" quotePrefix="0" xfId="0">
      <alignment horizontal="center" vertical="center"/>
    </xf>
    <xf numFmtId="0" fontId="25" fillId="0" borderId="0" applyAlignment="1" pivotButton="0" quotePrefix="0" xfId="0">
      <alignment vertical="top" wrapText="1"/>
    </xf>
    <xf numFmtId="0" fontId="21" fillId="18" borderId="2" applyAlignment="1" pivotButton="0" quotePrefix="0" xfId="0">
      <alignment horizontal="center" vertical="center" wrapText="1"/>
    </xf>
    <xf numFmtId="0" fontId="21" fillId="19" borderId="2" applyAlignment="1" pivotButton="0" quotePrefix="0" xfId="0">
      <alignment horizontal="center" vertical="center" wrapText="1"/>
    </xf>
    <xf numFmtId="0" fontId="27" fillId="17" borderId="2" applyAlignment="1" pivotButton="0" quotePrefix="0" xfId="0">
      <alignment horizontal="center" vertical="center"/>
    </xf>
    <xf numFmtId="0" fontId="28" fillId="20" borderId="2" applyAlignment="1" pivotButton="0" quotePrefix="0" xfId="0">
      <alignment horizontal="center" vertical="center"/>
    </xf>
    <xf numFmtId="0" fontId="15" fillId="21" borderId="2" applyAlignment="1" pivotButton="0" quotePrefix="0" xfId="0">
      <alignment horizontal="center" vertical="center"/>
    </xf>
    <xf numFmtId="0" fontId="28" fillId="22" borderId="2" applyAlignment="1" pivotButton="0" quotePrefix="0" xfId="0">
      <alignment horizontal="center" vertical="center"/>
    </xf>
    <xf numFmtId="0" fontId="21" fillId="23" borderId="2" applyAlignment="1" pivotButton="0" quotePrefix="0" xfId="0">
      <alignment horizontal="center" vertical="center" wrapText="1"/>
    </xf>
    <xf numFmtId="0" fontId="29" fillId="0" borderId="2" applyAlignment="1" pivotButton="0" quotePrefix="0" xfId="0">
      <alignment horizontal="center" vertical="center"/>
    </xf>
    <xf numFmtId="0" fontId="30" fillId="24" borderId="2" applyAlignment="1" pivotButton="0" quotePrefix="0" xfId="0">
      <alignment horizontal="center" vertical="center"/>
    </xf>
    <xf numFmtId="0" fontId="3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cols>
    <col width="2" customWidth="1" min="1" max="1"/>
    <col width="95" customWidth="1" min="2" max="2"/>
  </cols>
  <sheetData>
    <row r="1" ht="44" customHeight="1">
      <c r="A1" s="1" t="inlineStr">
        <is>
          <t>봉이모바일 공통폼 템플릿 (매장/온라인 공용)</t>
        </is>
      </c>
    </row>
    <row r="3">
      <c r="A3" s="2" t="inlineStr"/>
      <c r="B3" s="3" t="inlineStr">
        <is>
          <t>📌 공통폼</t>
        </is>
      </c>
    </row>
    <row r="4">
      <c r="A4" s="2" t="inlineStr"/>
      <c r="B4" s="2" t="inlineStr">
        <is>
          <t>· 한 개 템플릿 파일을 오프라인(12개 매장)과 온라인(1개 통합)이 각자 복사해서 사용</t>
        </is>
      </c>
    </row>
    <row r="5">
      <c r="A5" s="2" t="inlineStr"/>
      <c r="B5" s="2" t="inlineStr">
        <is>
          <t>· 구조 동일 · 매장/온라인이 자기 채널 값만 입력</t>
        </is>
      </c>
    </row>
    <row r="6">
      <c r="A6" s="2" t="inlineStr"/>
      <c r="B6" s="2" t="inlineStr">
        <is>
          <t>· 저장 시 파일명 구분 (예: template-form-상무점.xlsx / template-form-온라인.xlsx)</t>
        </is>
      </c>
    </row>
    <row r="8">
      <c r="A8" s="2" t="inlineStr"/>
      <c r="B8" s="3" t="inlineStr">
        <is>
          <t>📊 시트 구조</t>
        </is>
      </c>
    </row>
    <row r="9">
      <c r="A9" s="2" t="inlineStr"/>
      <c r="B9" s="2" t="inlineStr">
        <is>
          <t>· ① 무선(휴대폰): 통신사/펫네임/용량/출고가/요금제/공시/번이 현금가/기변 현금가 (입력 8) + 봉이지원금 자동 2 · 54행</t>
        </is>
      </c>
    </row>
    <row r="10">
      <c r="A10" s="2" t="inlineStr"/>
      <c r="B10" s="2" t="inlineStr">
        <is>
          <t>· ② 유심: 통신사/요금제(월요금)/25%↓실납/번이 · 9행</t>
        </is>
      </c>
    </row>
    <row r="11">
      <c r="A11" s="2" t="inlineStr"/>
      <c r="B11" s="2" t="inlineStr">
        <is>
          <t>· ③ 인터넷+TV 사은품: 종류/SK/KT/LG/비고 · 63행 (통합 1개 · 온·오프라인 공통)</t>
        </is>
      </c>
    </row>
    <row r="13">
      <c r="A13" s="2" t="inlineStr"/>
      <c r="B13" s="3" t="inlineStr">
        <is>
          <t>📇 유심 요금제</t>
        </is>
      </c>
    </row>
    <row r="14">
      <c r="A14" s="2" t="inlineStr"/>
      <c r="B14" s="2" t="inlineStr">
        <is>
          <t>· SK: 5GX 슬림(33,000) / 베이직 플러스(45,000) / 5GX 레귤러(55,000)</t>
        </is>
      </c>
    </row>
    <row r="15">
      <c r="A15" s="2" t="inlineStr"/>
      <c r="B15" s="2" t="inlineStr">
        <is>
          <t>· KT: 5G 슬림(37,000) / 5G 심플(50,000) / 5G 비디오(69,000)</t>
        </is>
      </c>
    </row>
    <row r="16">
      <c r="A16" s="2" t="inlineStr"/>
      <c r="B16" s="2" t="inlineStr">
        <is>
          <t>· LG: 5G 슬림+(33,000) / 5G 스탠다드(61,000) / 5G 프리미어 레귤러(85,000)</t>
        </is>
      </c>
    </row>
    <row r="18">
      <c r="A18" s="2" t="inlineStr"/>
      <c r="B18" s="3" t="inlineStr">
        <is>
          <t>🔑 유심 정책</t>
        </is>
      </c>
    </row>
    <row r="19">
      <c r="A19" s="2" t="inlineStr"/>
      <c r="B19" s="2" t="inlineStr">
        <is>
          <t>· MNP 전용 · 010 신규 제외 · 기변 없음</t>
        </is>
      </c>
    </row>
    <row r="20">
      <c r="A20" s="2" t="inlineStr"/>
      <c r="B20" s="2" t="inlineStr">
        <is>
          <t>· 선택약정 25% 할인 (SK/KT 개통시 · LG 개통 후 고객센터 신청)</t>
        </is>
      </c>
    </row>
    <row r="21">
      <c r="A21" s="2" t="inlineStr"/>
      <c r="B21" s="2" t="inlineStr">
        <is>
          <t>· 유심비: SK/LG 다음 달 청구 · KT 선납(사은품 차감) · 유지기간: SK M+6 / KT·LG 183일</t>
        </is>
      </c>
    </row>
    <row r="22">
      <c r="A22" s="2" t="inlineStr"/>
      <c r="B22" s="2" t="inlineStr">
        <is>
          <t>· 개통: 유심 수령 후 고객센터 수령 통화 → 개통 진행</t>
        </is>
      </c>
    </row>
    <row r="24">
      <c r="A24" s="2" t="inlineStr"/>
      <c r="B24" s="3" t="inlineStr">
        <is>
          <t>⚠️ 입력 규칙</t>
        </is>
      </c>
    </row>
    <row r="25">
      <c r="A25" s="2" t="inlineStr"/>
      <c r="B25" s="2" t="inlineStr">
        <is>
          <t>· 값 단위: 만원 · 현금가 음수 허용 (매장이 고객에 현금 페이백 = 봉이지원금 증가)</t>
        </is>
      </c>
    </row>
    <row r="26">
      <c r="A26" s="2" t="inlineStr"/>
      <c r="B26" s="2" t="inlineStr">
        <is>
          <t>· PK: 무선=(통신사+펫네임+용량+요금제) · 유심=(통신사+요금제) · 사은품=(#)</t>
        </is>
      </c>
    </row>
    <row r="27">
      <c r="A27" s="2" t="inlineStr"/>
      <c r="B27" s="2" t="inlineStr">
        <is>
          <t>· 입력 컬럼만 수정 · 봉이지원금(I·J)은 자동 계산 — 수동 입력 금지</t>
        </is>
      </c>
    </row>
    <row r="29">
      <c r="B29" s="30" t="inlineStr">
        <is>
          <t>💡 봉이 거래 공식 — 봉이지원금(역산) = 할부 페이백</t>
        </is>
      </c>
    </row>
    <row r="31">
      <c r="B31" s="48" t="inlineStr">
        <is>
          <t>【공시지원금 케이스】</t>
        </is>
      </c>
    </row>
    <row r="32">
      <c r="B32" t="inlineStr">
        <is>
          <t>· 현금: 출고가 − 공시 − 봉이지원금 = 현금가</t>
        </is>
      </c>
    </row>
    <row r="33">
      <c r="B33" t="inlineStr">
        <is>
          <t>· 할부: 봉이지원금 = 할부 페이백 (개통 14일 후 별도 현금 지급)</t>
        </is>
      </c>
    </row>
    <row r="34">
      <c r="B34" t="inlineStr">
        <is>
          <t>· 예①: 180 − 50 − 봉이지원금 = 10  → 봉이지원금 = 120만</t>
        </is>
      </c>
    </row>
    <row r="35">
      <c r="B35" t="inlineStr">
        <is>
          <t>· 예②: 180 − 50 − 봉이지원금 = −10 → 봉이지원금 = 140만 (현금가 음수 → 봉이가 매장에 더 보상)</t>
        </is>
      </c>
    </row>
    <row r="36">
      <c r="B36" s="30" t="n"/>
    </row>
    <row r="37">
      <c r="B37" s="48" t="inlineStr">
        <is>
          <t>【선택약정 25% 케이스】</t>
        </is>
      </c>
    </row>
    <row r="38">
      <c r="B38" s="30" t="inlineStr">
        <is>
          <t>· 현금: 출고가 − 봉이지원금 = 선약 현금가 (공시지원금 미적용)</t>
        </is>
      </c>
    </row>
    <row r="39">
      <c r="B39" t="inlineStr">
        <is>
          <t>· 할부: 봉이지원금 = 선약 할부 페이백</t>
        </is>
      </c>
    </row>
    <row r="40">
      <c r="B40" s="30" t="inlineStr">
        <is>
          <t>· 예: 180 − 봉이지원금 = 30 → 봉이지원금 = 150만 / + 월 요금 25%↓ 별도</t>
        </is>
      </c>
    </row>
    <row r="42">
      <c r="B42" s="30" t="inlineStr">
        <is>
          <t>🧮 ① 무선 시트 자동 계산 (공시 케이스 기준)</t>
        </is>
      </c>
    </row>
    <row r="43">
      <c r="B43" t="inlineStr">
        <is>
          <t>· I (번이 봉이지원금=할부페이백) = D − F − G</t>
        </is>
      </c>
    </row>
    <row r="44">
      <c r="B44" t="inlineStr">
        <is>
          <t>· J (기변 봉이지원금=할부페이백) = D − F − H</t>
        </is>
      </c>
    </row>
    <row r="45">
      <c r="B45" t="inlineStr">
        <is>
          <t>· 선약 케이스는 F열을 0으로 임시 변경 후 동일 컬럼 사용 (또는 별도 행 입력)</t>
        </is>
      </c>
    </row>
    <row r="47">
      <c r="B47" s="30" t="inlineStr">
        <is>
          <t>📝 입력 가이드</t>
        </is>
      </c>
    </row>
    <row r="48">
      <c r="B48" t="inlineStr">
        <is>
          <t>· 현금가는 음수 허용 (음수 = 매장이 고객에 추가 현금 페이백)</t>
        </is>
      </c>
    </row>
    <row r="49">
      <c r="B49" t="inlineStr">
        <is>
          <t>· 매장이 현금가만 입력하면 봉이지원금/할부 페이백 자동 산출</t>
        </is>
      </c>
    </row>
    <row r="50">
      <c r="B50" t="inlineStr">
        <is>
          <t>· 할부 24개월 / 수수료 5.9% 원리금균등 별도 / 공시·선약 동시 적용 불가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8" customWidth="1" min="2" max="2"/>
    <col width="8" customWidth="1" min="3" max="3"/>
    <col width="9" customWidth="1" min="4" max="4"/>
    <col width="22" customWidth="1" min="5" max="5"/>
    <col width="10" customWidth="1" min="6" max="6"/>
    <col width="11" customWidth="1" min="7" max="7"/>
    <col width="11" customWidth="1" min="8" max="8"/>
    <col width="15" customWidth="1" min="9" max="9"/>
    <col width="15" customWidth="1" min="10" max="10"/>
  </cols>
  <sheetData>
    <row r="1">
      <c r="A1" s="31" t="inlineStr">
        <is>
          <t>📱 무선(휴대폰) 시세 · 54행 · 입력=현금가 / 자동=봉이지원금(역산=할부 페이백)</t>
        </is>
      </c>
    </row>
    <row r="2" ht="40" customHeight="1">
      <c r="A2" s="32" t="inlineStr">
        <is>
          <t>통신사</t>
        </is>
      </c>
      <c r="B2" s="32" t="inlineStr">
        <is>
          <t>펫네임</t>
        </is>
      </c>
      <c r="C2" s="32" t="inlineStr">
        <is>
          <t>용량</t>
        </is>
      </c>
      <c r="D2" s="32" t="inlineStr">
        <is>
          <t>출고가
(만원)</t>
        </is>
      </c>
      <c r="E2" s="32" t="inlineStr">
        <is>
          <t>요금제(월요금)</t>
        </is>
      </c>
      <c r="F2" s="32" t="inlineStr">
        <is>
          <t>공시지원금
(만원)</t>
        </is>
      </c>
      <c r="G2" s="32" t="inlineStr">
        <is>
          <t>번이 현금가
(만원·입력)</t>
        </is>
      </c>
      <c r="H2" s="32" t="inlineStr">
        <is>
          <t>기변 현금가
(만원·입력)</t>
        </is>
      </c>
      <c r="I2" s="45" t="inlineStr">
        <is>
          <t>봉이지원금=할부페이백
(번이·만원·자동)</t>
        </is>
      </c>
      <c r="J2" s="45" t="inlineStr">
        <is>
          <t>봉이지원금=할부페이백
(기변·만원·자동)</t>
        </is>
      </c>
    </row>
    <row r="3">
      <c r="A3" s="33" t="inlineStr">
        <is>
          <t>SK</t>
        </is>
      </c>
      <c r="B3" s="33" t="inlineStr">
        <is>
          <t>S26</t>
        </is>
      </c>
      <c r="C3" s="33" t="inlineStr">
        <is>
          <t>512GB</t>
        </is>
      </c>
      <c r="D3" s="33" t="n">
        <v>130</v>
      </c>
      <c r="E3" s="33" t="inlineStr">
        <is>
          <t>프리미엄(125,000)</t>
        </is>
      </c>
      <c r="F3" s="34" t="n">
        <v>45</v>
      </c>
      <c r="G3" s="46" t="n"/>
      <c r="H3" s="46" t="n"/>
      <c r="I3" s="47">
        <f>IFERROR(D3-F3-G3,"")</f>
        <v/>
      </c>
      <c r="J3" s="47">
        <f>IFERROR(D3-F3-H3,"")</f>
        <v/>
      </c>
    </row>
    <row r="4">
      <c r="A4" s="33" t="inlineStr">
        <is>
          <t>SK</t>
        </is>
      </c>
      <c r="B4" s="33" t="inlineStr">
        <is>
          <t>S26+</t>
        </is>
      </c>
      <c r="C4" s="33" t="inlineStr">
        <is>
          <t>512GB</t>
        </is>
      </c>
      <c r="D4" s="33" t="n">
        <v>145</v>
      </c>
      <c r="E4" s="33" t="inlineStr">
        <is>
          <t>프리미엄(125,000)</t>
        </is>
      </c>
      <c r="F4" s="34" t="n">
        <v>45</v>
      </c>
      <c r="G4" s="46" t="n"/>
      <c r="H4" s="46" t="n"/>
      <c r="I4" s="47">
        <f>IFERROR(D4-F4-G4,"")</f>
        <v/>
      </c>
      <c r="J4" s="47">
        <f>IFERROR(D4-F4-H4,"")</f>
        <v/>
      </c>
    </row>
    <row r="5">
      <c r="A5" s="33" t="inlineStr">
        <is>
          <t>SK</t>
        </is>
      </c>
      <c r="B5" s="33" t="inlineStr">
        <is>
          <t>S26U</t>
        </is>
      </c>
      <c r="C5" s="33" t="inlineStr">
        <is>
          <t>512GB</t>
        </is>
      </c>
      <c r="D5" s="33" t="n">
        <v>180</v>
      </c>
      <c r="E5" s="33" t="inlineStr">
        <is>
          <t>프리미엄(125,000)</t>
        </is>
      </c>
      <c r="F5" s="34" t="n">
        <v>45</v>
      </c>
      <c r="G5" s="46" t="n"/>
      <c r="H5" s="46" t="n"/>
      <c r="I5" s="47">
        <f>IFERROR(D5-F5-G5,"")</f>
        <v/>
      </c>
      <c r="J5" s="47">
        <f>IFERROR(D5-F5-H5,"")</f>
        <v/>
      </c>
    </row>
    <row r="6">
      <c r="A6" s="33" t="inlineStr">
        <is>
          <t>SK</t>
        </is>
      </c>
      <c r="B6" s="33" t="inlineStr">
        <is>
          <t>플립7</t>
        </is>
      </c>
      <c r="C6" s="33" t="inlineStr">
        <is>
          <t>512GB</t>
        </is>
      </c>
      <c r="D6" s="33" t="n">
        <v>150</v>
      </c>
      <c r="E6" s="33" t="inlineStr">
        <is>
          <t>프리미엄(125,000)</t>
        </is>
      </c>
      <c r="F6" s="34" t="n">
        <v>45</v>
      </c>
      <c r="G6" s="46" t="n"/>
      <c r="H6" s="46" t="n"/>
      <c r="I6" s="47">
        <f>IFERROR(D6-F6-G6,"")</f>
        <v/>
      </c>
      <c r="J6" s="47">
        <f>IFERROR(D6-F6-H6,"")</f>
        <v/>
      </c>
    </row>
    <row r="7">
      <c r="A7" s="33" t="inlineStr">
        <is>
          <t>SK</t>
        </is>
      </c>
      <c r="B7" s="33" t="inlineStr">
        <is>
          <t>폴드7</t>
        </is>
      </c>
      <c r="C7" s="33" t="inlineStr">
        <is>
          <t>512GB</t>
        </is>
      </c>
      <c r="D7" s="33" t="n">
        <v>230</v>
      </c>
      <c r="E7" s="33" t="inlineStr">
        <is>
          <t>프리미엄(125,000)</t>
        </is>
      </c>
      <c r="F7" s="34" t="n">
        <v>45</v>
      </c>
      <c r="G7" s="46" t="n"/>
      <c r="H7" s="46" t="n"/>
      <c r="I7" s="47">
        <f>IFERROR(D7-F7-G7,"")</f>
        <v/>
      </c>
      <c r="J7" s="47">
        <f>IFERROR(D7-F7-H7,"")</f>
        <v/>
      </c>
    </row>
    <row r="8">
      <c r="A8" s="33" t="inlineStr">
        <is>
          <t>SK</t>
        </is>
      </c>
      <c r="B8" s="33" t="inlineStr">
        <is>
          <t>S25</t>
        </is>
      </c>
      <c r="C8" s="33" t="inlineStr">
        <is>
          <t>512GB</t>
        </is>
      </c>
      <c r="D8" s="33" t="n">
        <v>115</v>
      </c>
      <c r="E8" s="33" t="inlineStr">
        <is>
          <t>프리미엄(125,000)</t>
        </is>
      </c>
      <c r="F8" s="34" t="n">
        <v>45</v>
      </c>
      <c r="G8" s="46" t="n"/>
      <c r="H8" s="46" t="n"/>
      <c r="I8" s="47">
        <f>IFERROR(D8-F8-G8,"")</f>
        <v/>
      </c>
      <c r="J8" s="47">
        <f>IFERROR(D8-F8-H8,"")</f>
        <v/>
      </c>
    </row>
    <row r="9">
      <c r="A9" s="33" t="inlineStr">
        <is>
          <t>SK</t>
        </is>
      </c>
      <c r="B9" s="33" t="inlineStr">
        <is>
          <t>S25+</t>
        </is>
      </c>
      <c r="C9" s="33" t="inlineStr">
        <is>
          <t>512GB</t>
        </is>
      </c>
      <c r="D9" s="33" t="n">
        <v>130</v>
      </c>
      <c r="E9" s="33" t="inlineStr">
        <is>
          <t>프리미엄(125,000)</t>
        </is>
      </c>
      <c r="F9" s="34" t="n">
        <v>45</v>
      </c>
      <c r="G9" s="46" t="n"/>
      <c r="H9" s="46" t="n"/>
      <c r="I9" s="47">
        <f>IFERROR(D9-F9-G9,"")</f>
        <v/>
      </c>
      <c r="J9" s="47">
        <f>IFERROR(D9-F9-H9,"")</f>
        <v/>
      </c>
    </row>
    <row r="10">
      <c r="A10" s="33" t="inlineStr">
        <is>
          <t>SK</t>
        </is>
      </c>
      <c r="B10" s="33" t="inlineStr">
        <is>
          <t>S25U</t>
        </is>
      </c>
      <c r="C10" s="33" t="inlineStr">
        <is>
          <t>512GB</t>
        </is>
      </c>
      <c r="D10" s="33" t="n">
        <v>170</v>
      </c>
      <c r="E10" s="33" t="inlineStr">
        <is>
          <t>프리미엄(125,000)</t>
        </is>
      </c>
      <c r="F10" s="34" t="n">
        <v>45</v>
      </c>
      <c r="G10" s="46" t="n"/>
      <c r="H10" s="46" t="n"/>
      <c r="I10" s="47">
        <f>IFERROR(D10-F10-G10,"")</f>
        <v/>
      </c>
      <c r="J10" s="47">
        <f>IFERROR(D10-F10-H10,"")</f>
        <v/>
      </c>
    </row>
    <row r="11">
      <c r="A11" s="33" t="inlineStr">
        <is>
          <t>SK</t>
        </is>
      </c>
      <c r="B11" s="33" t="inlineStr">
        <is>
          <t>S25엣지</t>
        </is>
      </c>
      <c r="C11" s="33" t="inlineStr">
        <is>
          <t>512GB</t>
        </is>
      </c>
      <c r="D11" s="33" t="n">
        <v>150</v>
      </c>
      <c r="E11" s="33" t="inlineStr">
        <is>
          <t>프리미엄(125,000)</t>
        </is>
      </c>
      <c r="F11" s="34" t="n">
        <v>45</v>
      </c>
      <c r="G11" s="46" t="n"/>
      <c r="H11" s="46" t="n"/>
      <c r="I11" s="47">
        <f>IFERROR(D11-F11-G11,"")</f>
        <v/>
      </c>
      <c r="J11" s="47">
        <f>IFERROR(D11-F11-H11,"")</f>
        <v/>
      </c>
    </row>
    <row r="12">
      <c r="A12" s="33" t="inlineStr">
        <is>
          <t>SK</t>
        </is>
      </c>
      <c r="B12" s="33" t="inlineStr">
        <is>
          <t>S25 FE</t>
        </is>
      </c>
      <c r="C12" s="33" t="inlineStr">
        <is>
          <t>512GB</t>
        </is>
      </c>
      <c r="D12" s="33" t="n">
        <v>95</v>
      </c>
      <c r="E12" s="33" t="inlineStr">
        <is>
          <t>프리미엄(125,000)</t>
        </is>
      </c>
      <c r="F12" s="34" t="n">
        <v>45</v>
      </c>
      <c r="G12" s="46" t="n"/>
      <c r="H12" s="46" t="n"/>
      <c r="I12" s="47">
        <f>IFERROR(D12-F12-G12,"")</f>
        <v/>
      </c>
      <c r="J12" s="47">
        <f>IFERROR(D12-F12-H12,"")</f>
        <v/>
      </c>
    </row>
    <row r="13">
      <c r="A13" s="33" t="inlineStr">
        <is>
          <t>SK</t>
        </is>
      </c>
      <c r="B13" s="33" t="inlineStr">
        <is>
          <t>아이폰16</t>
        </is>
      </c>
      <c r="C13" s="33" t="inlineStr">
        <is>
          <t>512GB</t>
        </is>
      </c>
      <c r="D13" s="33" t="n">
        <v>125</v>
      </c>
      <c r="E13" s="33" t="inlineStr">
        <is>
          <t>프리미엄(125,000)</t>
        </is>
      </c>
      <c r="F13" s="34" t="n">
        <v>45</v>
      </c>
      <c r="G13" s="46" t="n"/>
      <c r="H13" s="46" t="n"/>
      <c r="I13" s="47">
        <f>IFERROR(D13-F13-G13,"")</f>
        <v/>
      </c>
      <c r="J13" s="47">
        <f>IFERROR(D13-F13-H13,"")</f>
        <v/>
      </c>
    </row>
    <row r="14">
      <c r="A14" s="33" t="inlineStr">
        <is>
          <t>SK</t>
        </is>
      </c>
      <c r="B14" s="33" t="inlineStr">
        <is>
          <t>아이폰16 플러스</t>
        </is>
      </c>
      <c r="C14" s="33" t="inlineStr">
        <is>
          <t>512GB</t>
        </is>
      </c>
      <c r="D14" s="33" t="n">
        <v>140</v>
      </c>
      <c r="E14" s="33" t="inlineStr">
        <is>
          <t>프리미엄(125,000)</t>
        </is>
      </c>
      <c r="F14" s="34" t="n">
        <v>45</v>
      </c>
      <c r="G14" s="46" t="n"/>
      <c r="H14" s="46" t="n"/>
      <c r="I14" s="47">
        <f>IFERROR(D14-F14-G14,"")</f>
        <v/>
      </c>
      <c r="J14" s="47">
        <f>IFERROR(D14-F14-H14,"")</f>
        <v/>
      </c>
    </row>
    <row r="15">
      <c r="A15" s="33" t="inlineStr">
        <is>
          <t>SK</t>
        </is>
      </c>
      <c r="B15" s="33" t="inlineStr">
        <is>
          <t>아이폰16 프로</t>
        </is>
      </c>
      <c r="C15" s="33" t="inlineStr">
        <is>
          <t>512GB</t>
        </is>
      </c>
      <c r="D15" s="33" t="n">
        <v>155</v>
      </c>
      <c r="E15" s="33" t="inlineStr">
        <is>
          <t>프리미엄(125,000)</t>
        </is>
      </c>
      <c r="F15" s="34" t="n">
        <v>45</v>
      </c>
      <c r="G15" s="46" t="n"/>
      <c r="H15" s="46" t="n"/>
      <c r="I15" s="47">
        <f>IFERROR(D15-F15-G15,"")</f>
        <v/>
      </c>
      <c r="J15" s="47">
        <f>IFERROR(D15-F15-H15,"")</f>
        <v/>
      </c>
    </row>
    <row r="16">
      <c r="A16" s="33" t="inlineStr">
        <is>
          <t>SK</t>
        </is>
      </c>
      <c r="B16" s="33" t="inlineStr">
        <is>
          <t>아이폰16 프로맥스 256G</t>
        </is>
      </c>
      <c r="C16" s="33" t="inlineStr">
        <is>
          <t>512GB</t>
        </is>
      </c>
      <c r="D16" s="33" t="n">
        <v>190</v>
      </c>
      <c r="E16" s="33" t="inlineStr">
        <is>
          <t>프리미엄(125,000)</t>
        </is>
      </c>
      <c r="F16" s="34" t="n">
        <v>45</v>
      </c>
      <c r="G16" s="46" t="n"/>
      <c r="H16" s="46" t="n"/>
      <c r="I16" s="47">
        <f>IFERROR(D16-F16-G16,"")</f>
        <v/>
      </c>
      <c r="J16" s="47">
        <f>IFERROR(D16-F16-H16,"")</f>
        <v/>
      </c>
    </row>
    <row r="17">
      <c r="A17" s="33" t="inlineStr">
        <is>
          <t>SK</t>
        </is>
      </c>
      <c r="B17" s="33" t="inlineStr">
        <is>
          <t>아이폰 17</t>
        </is>
      </c>
      <c r="C17" s="33" t="inlineStr">
        <is>
          <t>512GB</t>
        </is>
      </c>
      <c r="D17" s="33" t="n">
        <v>130</v>
      </c>
      <c r="E17" s="33" t="inlineStr">
        <is>
          <t>프리미엄(125,000)</t>
        </is>
      </c>
      <c r="F17" s="34" t="n">
        <v>45</v>
      </c>
      <c r="G17" s="46" t="n"/>
      <c r="H17" s="46" t="n"/>
      <c r="I17" s="47">
        <f>IFERROR(D17-F17-G17,"")</f>
        <v/>
      </c>
      <c r="J17" s="47">
        <f>IFERROR(D17-F17-H17,"")</f>
        <v/>
      </c>
    </row>
    <row r="18">
      <c r="A18" s="33" t="inlineStr">
        <is>
          <t>SK</t>
        </is>
      </c>
      <c r="B18" s="33" t="inlineStr">
        <is>
          <t>아이폰17 AIR</t>
        </is>
      </c>
      <c r="C18" s="33" t="inlineStr">
        <is>
          <t>512GB</t>
        </is>
      </c>
      <c r="D18" s="33" t="n">
        <v>160</v>
      </c>
      <c r="E18" s="33" t="inlineStr">
        <is>
          <t>프리미엄(125,000)</t>
        </is>
      </c>
      <c r="F18" s="34" t="n">
        <v>45</v>
      </c>
      <c r="G18" s="46" t="n"/>
      <c r="H18" s="46" t="n"/>
      <c r="I18" s="47">
        <f>IFERROR(D18-F18-G18,"")</f>
        <v/>
      </c>
      <c r="J18" s="47">
        <f>IFERROR(D18-F18-H18,"")</f>
        <v/>
      </c>
    </row>
    <row r="19">
      <c r="A19" s="33" t="inlineStr">
        <is>
          <t>SK</t>
        </is>
      </c>
      <c r="B19" s="33" t="inlineStr">
        <is>
          <t>아이폰17 PRO</t>
        </is>
      </c>
      <c r="C19" s="33" t="inlineStr">
        <is>
          <t>512GB</t>
        </is>
      </c>
      <c r="D19" s="33" t="n">
        <v>175</v>
      </c>
      <c r="E19" s="33" t="inlineStr">
        <is>
          <t>프리미엄(125,000)</t>
        </is>
      </c>
      <c r="F19" s="34" t="n">
        <v>45</v>
      </c>
      <c r="G19" s="46" t="n"/>
      <c r="H19" s="46" t="n"/>
      <c r="I19" s="47">
        <f>IFERROR(D19-F19-G19,"")</f>
        <v/>
      </c>
      <c r="J19" s="47">
        <f>IFERROR(D19-F19-H19,"")</f>
        <v/>
      </c>
    </row>
    <row r="20">
      <c r="A20" s="33" t="inlineStr">
        <is>
          <t>SK</t>
        </is>
      </c>
      <c r="B20" s="33" t="inlineStr">
        <is>
          <t>아이폰17 프로맥스</t>
        </is>
      </c>
      <c r="C20" s="33" t="inlineStr">
        <is>
          <t>512GB</t>
        </is>
      </c>
      <c r="D20" s="33" t="n">
        <v>200</v>
      </c>
      <c r="E20" s="33" t="inlineStr">
        <is>
          <t>프리미엄(125,000)</t>
        </is>
      </c>
      <c r="F20" s="34" t="n">
        <v>45</v>
      </c>
      <c r="G20" s="46" t="n"/>
      <c r="H20" s="46" t="n"/>
      <c r="I20" s="47">
        <f>IFERROR(D20-F20-G20,"")</f>
        <v/>
      </c>
      <c r="J20" s="47">
        <f>IFERROR(D20-F20-H20,"")</f>
        <v/>
      </c>
    </row>
    <row r="21">
      <c r="A21" s="33" t="inlineStr">
        <is>
          <t>KT</t>
        </is>
      </c>
      <c r="B21" s="33" t="inlineStr">
        <is>
          <t>S26</t>
        </is>
      </c>
      <c r="C21" s="33" t="inlineStr">
        <is>
          <t>512GB</t>
        </is>
      </c>
      <c r="D21" s="33" t="n">
        <v>130</v>
      </c>
      <c r="E21" s="33" t="inlineStr">
        <is>
          <t>초이스스페셜(130,000)</t>
        </is>
      </c>
      <c r="F21" s="34" t="n">
        <v>50</v>
      </c>
      <c r="G21" s="46" t="n"/>
      <c r="H21" s="46" t="n"/>
      <c r="I21" s="47">
        <f>IFERROR(D21-F21-G21,"")</f>
        <v/>
      </c>
      <c r="J21" s="47">
        <f>IFERROR(D21-F21-H21,"")</f>
        <v/>
      </c>
    </row>
    <row r="22">
      <c r="A22" s="33" t="inlineStr">
        <is>
          <t>KT</t>
        </is>
      </c>
      <c r="B22" s="33" t="inlineStr">
        <is>
          <t>S26+</t>
        </is>
      </c>
      <c r="C22" s="33" t="inlineStr">
        <is>
          <t>512GB</t>
        </is>
      </c>
      <c r="D22" s="33" t="n">
        <v>145</v>
      </c>
      <c r="E22" s="33" t="inlineStr">
        <is>
          <t>초이스스페셜(130,000)</t>
        </is>
      </c>
      <c r="F22" s="34" t="n">
        <v>50</v>
      </c>
      <c r="G22" s="46" t="n"/>
      <c r="H22" s="46" t="n"/>
      <c r="I22" s="47">
        <f>IFERROR(D22-F22-G22,"")</f>
        <v/>
      </c>
      <c r="J22" s="47">
        <f>IFERROR(D22-F22-H22,"")</f>
        <v/>
      </c>
    </row>
    <row r="23">
      <c r="A23" s="33" t="inlineStr">
        <is>
          <t>KT</t>
        </is>
      </c>
      <c r="B23" s="33" t="inlineStr">
        <is>
          <t>S26U</t>
        </is>
      </c>
      <c r="C23" s="33" t="inlineStr">
        <is>
          <t>512GB</t>
        </is>
      </c>
      <c r="D23" s="33" t="n">
        <v>180</v>
      </c>
      <c r="E23" s="33" t="inlineStr">
        <is>
          <t>초이스스페셜(130,000)</t>
        </is>
      </c>
      <c r="F23" s="34" t="n">
        <v>50</v>
      </c>
      <c r="G23" s="46" t="n"/>
      <c r="H23" s="46" t="n"/>
      <c r="I23" s="47">
        <f>IFERROR(D23-F23-G23,"")</f>
        <v/>
      </c>
      <c r="J23" s="47">
        <f>IFERROR(D23-F23-H23,"")</f>
        <v/>
      </c>
    </row>
    <row r="24">
      <c r="A24" s="33" t="inlineStr">
        <is>
          <t>KT</t>
        </is>
      </c>
      <c r="B24" s="33" t="inlineStr">
        <is>
          <t>플립7</t>
        </is>
      </c>
      <c r="C24" s="33" t="inlineStr">
        <is>
          <t>512GB</t>
        </is>
      </c>
      <c r="D24" s="33" t="n">
        <v>150</v>
      </c>
      <c r="E24" s="33" t="inlineStr">
        <is>
          <t>초이스스페셜(130,000)</t>
        </is>
      </c>
      <c r="F24" s="34" t="n">
        <v>50</v>
      </c>
      <c r="G24" s="46" t="n"/>
      <c r="H24" s="46" t="n"/>
      <c r="I24" s="47">
        <f>IFERROR(D24-F24-G24,"")</f>
        <v/>
      </c>
      <c r="J24" s="47">
        <f>IFERROR(D24-F24-H24,"")</f>
        <v/>
      </c>
    </row>
    <row r="25">
      <c r="A25" s="33" t="inlineStr">
        <is>
          <t>KT</t>
        </is>
      </c>
      <c r="B25" s="33" t="inlineStr">
        <is>
          <t>폴드7</t>
        </is>
      </c>
      <c r="C25" s="33" t="inlineStr">
        <is>
          <t>512GB</t>
        </is>
      </c>
      <c r="D25" s="33" t="n">
        <v>230</v>
      </c>
      <c r="E25" s="33" t="inlineStr">
        <is>
          <t>초이스스페셜(130,000)</t>
        </is>
      </c>
      <c r="F25" s="34" t="n">
        <v>50</v>
      </c>
      <c r="G25" s="46" t="n"/>
      <c r="H25" s="46" t="n"/>
      <c r="I25" s="47">
        <f>IFERROR(D25-F25-G25,"")</f>
        <v/>
      </c>
      <c r="J25" s="47">
        <f>IFERROR(D25-F25-H25,"")</f>
        <v/>
      </c>
    </row>
    <row r="26">
      <c r="A26" s="33" t="inlineStr">
        <is>
          <t>KT</t>
        </is>
      </c>
      <c r="B26" s="33" t="inlineStr">
        <is>
          <t>S25</t>
        </is>
      </c>
      <c r="C26" s="33" t="inlineStr">
        <is>
          <t>512GB</t>
        </is>
      </c>
      <c r="D26" s="33" t="n">
        <v>115</v>
      </c>
      <c r="E26" s="33" t="inlineStr">
        <is>
          <t>초이스스페셜(130,000)</t>
        </is>
      </c>
      <c r="F26" s="34" t="n">
        <v>50</v>
      </c>
      <c r="G26" s="46" t="n"/>
      <c r="H26" s="46" t="n"/>
      <c r="I26" s="47">
        <f>IFERROR(D26-F26-G26,"")</f>
        <v/>
      </c>
      <c r="J26" s="47">
        <f>IFERROR(D26-F26-H26,"")</f>
        <v/>
      </c>
    </row>
    <row r="27">
      <c r="A27" s="33" t="inlineStr">
        <is>
          <t>KT</t>
        </is>
      </c>
      <c r="B27" s="33" t="inlineStr">
        <is>
          <t>S25+</t>
        </is>
      </c>
      <c r="C27" s="33" t="inlineStr">
        <is>
          <t>512GB</t>
        </is>
      </c>
      <c r="D27" s="33" t="n">
        <v>130</v>
      </c>
      <c r="E27" s="33" t="inlineStr">
        <is>
          <t>초이스스페셜(130,000)</t>
        </is>
      </c>
      <c r="F27" s="34" t="n">
        <v>50</v>
      </c>
      <c r="G27" s="46" t="n"/>
      <c r="H27" s="46" t="n"/>
      <c r="I27" s="47">
        <f>IFERROR(D27-F27-G27,"")</f>
        <v/>
      </c>
      <c r="J27" s="47">
        <f>IFERROR(D27-F27-H27,"")</f>
        <v/>
      </c>
    </row>
    <row r="28">
      <c r="A28" s="33" t="inlineStr">
        <is>
          <t>KT</t>
        </is>
      </c>
      <c r="B28" s="33" t="inlineStr">
        <is>
          <t>S25U</t>
        </is>
      </c>
      <c r="C28" s="33" t="inlineStr">
        <is>
          <t>512GB</t>
        </is>
      </c>
      <c r="D28" s="33" t="n">
        <v>170</v>
      </c>
      <c r="E28" s="33" t="inlineStr">
        <is>
          <t>초이스스페셜(130,000)</t>
        </is>
      </c>
      <c r="F28" s="34" t="n">
        <v>50</v>
      </c>
      <c r="G28" s="46" t="n"/>
      <c r="H28" s="46" t="n"/>
      <c r="I28" s="47">
        <f>IFERROR(D28-F28-G28,"")</f>
        <v/>
      </c>
      <c r="J28" s="47">
        <f>IFERROR(D28-F28-H28,"")</f>
        <v/>
      </c>
    </row>
    <row r="29">
      <c r="A29" s="33" t="inlineStr">
        <is>
          <t>KT</t>
        </is>
      </c>
      <c r="B29" s="33" t="inlineStr">
        <is>
          <t>S25엣지</t>
        </is>
      </c>
      <c r="C29" s="33" t="inlineStr">
        <is>
          <t>512GB</t>
        </is>
      </c>
      <c r="D29" s="33" t="n">
        <v>150</v>
      </c>
      <c r="E29" s="33" t="inlineStr">
        <is>
          <t>초이스스페셜(130,000)</t>
        </is>
      </c>
      <c r="F29" s="34" t="n">
        <v>50</v>
      </c>
      <c r="G29" s="46" t="n"/>
      <c r="H29" s="46" t="n"/>
      <c r="I29" s="47">
        <f>IFERROR(D29-F29-G29,"")</f>
        <v/>
      </c>
      <c r="J29" s="47">
        <f>IFERROR(D29-F29-H29,"")</f>
        <v/>
      </c>
    </row>
    <row r="30">
      <c r="A30" s="33" t="inlineStr">
        <is>
          <t>KT</t>
        </is>
      </c>
      <c r="B30" s="33" t="inlineStr">
        <is>
          <t>S25 FE</t>
        </is>
      </c>
      <c r="C30" s="33" t="inlineStr">
        <is>
          <t>512GB</t>
        </is>
      </c>
      <c r="D30" s="33" t="n">
        <v>95</v>
      </c>
      <c r="E30" s="33" t="inlineStr">
        <is>
          <t>초이스스페셜(130,000)</t>
        </is>
      </c>
      <c r="F30" s="34" t="n">
        <v>50</v>
      </c>
      <c r="G30" s="46" t="n"/>
      <c r="H30" s="46" t="n"/>
      <c r="I30" s="47">
        <f>IFERROR(D30-F30-G30,"")</f>
        <v/>
      </c>
      <c r="J30" s="47">
        <f>IFERROR(D30-F30-H30,"")</f>
        <v/>
      </c>
    </row>
    <row r="31">
      <c r="A31" s="33" t="inlineStr">
        <is>
          <t>KT</t>
        </is>
      </c>
      <c r="B31" s="33" t="inlineStr">
        <is>
          <t>아이폰16</t>
        </is>
      </c>
      <c r="C31" s="33" t="inlineStr">
        <is>
          <t>512GB</t>
        </is>
      </c>
      <c r="D31" s="33" t="n">
        <v>125</v>
      </c>
      <c r="E31" s="33" t="inlineStr">
        <is>
          <t>초이스스페셜(130,000)</t>
        </is>
      </c>
      <c r="F31" s="34" t="n">
        <v>50</v>
      </c>
      <c r="G31" s="46" t="n"/>
      <c r="H31" s="46" t="n"/>
      <c r="I31" s="47">
        <f>IFERROR(D31-F31-G31,"")</f>
        <v/>
      </c>
      <c r="J31" s="47">
        <f>IFERROR(D31-F31-H31,"")</f>
        <v/>
      </c>
    </row>
    <row r="32">
      <c r="A32" s="33" t="inlineStr">
        <is>
          <t>KT</t>
        </is>
      </c>
      <c r="B32" s="33" t="inlineStr">
        <is>
          <t>아이폰16 플러스</t>
        </is>
      </c>
      <c r="C32" s="33" t="inlineStr">
        <is>
          <t>512GB</t>
        </is>
      </c>
      <c r="D32" s="33" t="n">
        <v>140</v>
      </c>
      <c r="E32" s="33" t="inlineStr">
        <is>
          <t>초이스스페셜(130,000)</t>
        </is>
      </c>
      <c r="F32" s="34" t="n">
        <v>50</v>
      </c>
      <c r="G32" s="46" t="n"/>
      <c r="H32" s="46" t="n"/>
      <c r="I32" s="47">
        <f>IFERROR(D32-F32-G32,"")</f>
        <v/>
      </c>
      <c r="J32" s="47">
        <f>IFERROR(D32-F32-H32,"")</f>
        <v/>
      </c>
    </row>
    <row r="33">
      <c r="A33" s="33" t="inlineStr">
        <is>
          <t>KT</t>
        </is>
      </c>
      <c r="B33" s="33" t="inlineStr">
        <is>
          <t>아이폰16 프로</t>
        </is>
      </c>
      <c r="C33" s="33" t="inlineStr">
        <is>
          <t>512GB</t>
        </is>
      </c>
      <c r="D33" s="33" t="n">
        <v>155</v>
      </c>
      <c r="E33" s="33" t="inlineStr">
        <is>
          <t>초이스스페셜(130,000)</t>
        </is>
      </c>
      <c r="F33" s="34" t="n">
        <v>50</v>
      </c>
      <c r="G33" s="46" t="n"/>
      <c r="H33" s="46" t="n"/>
      <c r="I33" s="47">
        <f>IFERROR(D33-F33-G33,"")</f>
        <v/>
      </c>
      <c r="J33" s="47">
        <f>IFERROR(D33-F33-H33,"")</f>
        <v/>
      </c>
    </row>
    <row r="34">
      <c r="A34" s="33" t="inlineStr">
        <is>
          <t>KT</t>
        </is>
      </c>
      <c r="B34" s="33" t="inlineStr">
        <is>
          <t>아이폰16 프로맥스 256G</t>
        </is>
      </c>
      <c r="C34" s="33" t="inlineStr">
        <is>
          <t>512GB</t>
        </is>
      </c>
      <c r="D34" s="33" t="n">
        <v>190</v>
      </c>
      <c r="E34" s="33" t="inlineStr">
        <is>
          <t>초이스스페셜(130,000)</t>
        </is>
      </c>
      <c r="F34" s="34" t="n">
        <v>50</v>
      </c>
      <c r="G34" s="46" t="n"/>
      <c r="H34" s="46" t="n"/>
      <c r="I34" s="47">
        <f>IFERROR(D34-F34-G34,"")</f>
        <v/>
      </c>
      <c r="J34" s="47">
        <f>IFERROR(D34-F34-H34,"")</f>
        <v/>
      </c>
    </row>
    <row r="35">
      <c r="A35" s="33" t="inlineStr">
        <is>
          <t>KT</t>
        </is>
      </c>
      <c r="B35" s="33" t="inlineStr">
        <is>
          <t>아이폰 17</t>
        </is>
      </c>
      <c r="C35" s="33" t="inlineStr">
        <is>
          <t>512GB</t>
        </is>
      </c>
      <c r="D35" s="33" t="n">
        <v>130</v>
      </c>
      <c r="E35" s="33" t="inlineStr">
        <is>
          <t>초이스스페셜(130,000)</t>
        </is>
      </c>
      <c r="F35" s="34" t="n">
        <v>50</v>
      </c>
      <c r="G35" s="46" t="n"/>
      <c r="H35" s="46" t="n"/>
      <c r="I35" s="47">
        <f>IFERROR(D35-F35-G35,"")</f>
        <v/>
      </c>
      <c r="J35" s="47">
        <f>IFERROR(D35-F35-H35,"")</f>
        <v/>
      </c>
    </row>
    <row r="36">
      <c r="A36" s="33" t="inlineStr">
        <is>
          <t>KT</t>
        </is>
      </c>
      <c r="B36" s="33" t="inlineStr">
        <is>
          <t>아이폰17 AIR</t>
        </is>
      </c>
      <c r="C36" s="33" t="inlineStr">
        <is>
          <t>512GB</t>
        </is>
      </c>
      <c r="D36" s="33" t="n">
        <v>160</v>
      </c>
      <c r="E36" s="33" t="inlineStr">
        <is>
          <t>초이스스페셜(130,000)</t>
        </is>
      </c>
      <c r="F36" s="34" t="n">
        <v>50</v>
      </c>
      <c r="G36" s="46" t="n"/>
      <c r="H36" s="46" t="n"/>
      <c r="I36" s="47">
        <f>IFERROR(D36-F36-G36,"")</f>
        <v/>
      </c>
      <c r="J36" s="47">
        <f>IFERROR(D36-F36-H36,"")</f>
        <v/>
      </c>
    </row>
    <row r="37">
      <c r="A37" s="33" t="inlineStr">
        <is>
          <t>KT</t>
        </is>
      </c>
      <c r="B37" s="33" t="inlineStr">
        <is>
          <t>아이폰17 PRO</t>
        </is>
      </c>
      <c r="C37" s="33" t="inlineStr">
        <is>
          <t>512GB</t>
        </is>
      </c>
      <c r="D37" s="33" t="n">
        <v>175</v>
      </c>
      <c r="E37" s="33" t="inlineStr">
        <is>
          <t>초이스스페셜(130,000)</t>
        </is>
      </c>
      <c r="F37" s="34" t="n">
        <v>50</v>
      </c>
      <c r="G37" s="46" t="n"/>
      <c r="H37" s="46" t="n"/>
      <c r="I37" s="47">
        <f>IFERROR(D37-F37-G37,"")</f>
        <v/>
      </c>
      <c r="J37" s="47">
        <f>IFERROR(D37-F37-H37,"")</f>
        <v/>
      </c>
    </row>
    <row r="38">
      <c r="A38" s="33" t="inlineStr">
        <is>
          <t>KT</t>
        </is>
      </c>
      <c r="B38" s="33" t="inlineStr">
        <is>
          <t>아이폰17 프로맥스</t>
        </is>
      </c>
      <c r="C38" s="33" t="inlineStr">
        <is>
          <t>512GB</t>
        </is>
      </c>
      <c r="D38" s="33" t="n">
        <v>200</v>
      </c>
      <c r="E38" s="33" t="inlineStr">
        <is>
          <t>초이스스페셜(130,000)</t>
        </is>
      </c>
      <c r="F38" s="34" t="n">
        <v>50</v>
      </c>
      <c r="G38" s="46" t="n"/>
      <c r="H38" s="46" t="n"/>
      <c r="I38" s="47">
        <f>IFERROR(D38-F38-G38,"")</f>
        <v/>
      </c>
      <c r="J38" s="47">
        <f>IFERROR(D38-F38-H38,"")</f>
        <v/>
      </c>
    </row>
    <row r="39">
      <c r="A39" s="33" t="inlineStr">
        <is>
          <t>LG</t>
        </is>
      </c>
      <c r="B39" s="33" t="inlineStr">
        <is>
          <t>S26</t>
        </is>
      </c>
      <c r="C39" s="33" t="inlineStr">
        <is>
          <t>512GB</t>
        </is>
      </c>
      <c r="D39" s="33" t="n">
        <v>130</v>
      </c>
      <c r="E39" s="33" t="inlineStr">
        <is>
          <t>프리미어 슈퍼(125,000)</t>
        </is>
      </c>
      <c r="F39" s="34" t="n">
        <v>47</v>
      </c>
      <c r="G39" s="46" t="n"/>
      <c r="H39" s="46" t="n"/>
      <c r="I39" s="47">
        <f>IFERROR(D39-F39-G39,"")</f>
        <v/>
      </c>
      <c r="J39" s="47">
        <f>IFERROR(D39-F39-H39,"")</f>
        <v/>
      </c>
    </row>
    <row r="40">
      <c r="A40" s="33" t="inlineStr">
        <is>
          <t>LG</t>
        </is>
      </c>
      <c r="B40" s="33" t="inlineStr">
        <is>
          <t>S26+</t>
        </is>
      </c>
      <c r="C40" s="33" t="inlineStr">
        <is>
          <t>512GB</t>
        </is>
      </c>
      <c r="D40" s="33" t="n">
        <v>145</v>
      </c>
      <c r="E40" s="33" t="inlineStr">
        <is>
          <t>프리미어 슈퍼(125,000)</t>
        </is>
      </c>
      <c r="F40" s="34" t="n">
        <v>47</v>
      </c>
      <c r="G40" s="46" t="n"/>
      <c r="H40" s="46" t="n"/>
      <c r="I40" s="47">
        <f>IFERROR(D40-F40-G40,"")</f>
        <v/>
      </c>
      <c r="J40" s="47">
        <f>IFERROR(D40-F40-H40,"")</f>
        <v/>
      </c>
    </row>
    <row r="41">
      <c r="A41" s="33" t="inlineStr">
        <is>
          <t>LG</t>
        </is>
      </c>
      <c r="B41" s="33" t="inlineStr">
        <is>
          <t>S26U</t>
        </is>
      </c>
      <c r="C41" s="33" t="inlineStr">
        <is>
          <t>512GB</t>
        </is>
      </c>
      <c r="D41" s="33" t="n">
        <v>180</v>
      </c>
      <c r="E41" s="33" t="inlineStr">
        <is>
          <t>프리미어 슈퍼(125,000)</t>
        </is>
      </c>
      <c r="F41" s="34" t="n">
        <v>47</v>
      </c>
      <c r="G41" s="46" t="n"/>
      <c r="H41" s="46" t="n"/>
      <c r="I41" s="47">
        <f>IFERROR(D41-F41-G41,"")</f>
        <v/>
      </c>
      <c r="J41" s="47">
        <f>IFERROR(D41-F41-H41,"")</f>
        <v/>
      </c>
    </row>
    <row r="42">
      <c r="A42" s="33" t="inlineStr">
        <is>
          <t>LG</t>
        </is>
      </c>
      <c r="B42" s="33" t="inlineStr">
        <is>
          <t>플립7</t>
        </is>
      </c>
      <c r="C42" s="33" t="inlineStr">
        <is>
          <t>512GB</t>
        </is>
      </c>
      <c r="D42" s="33" t="n">
        <v>150</v>
      </c>
      <c r="E42" s="33" t="inlineStr">
        <is>
          <t>프리미어 슈퍼(125,000)</t>
        </is>
      </c>
      <c r="F42" s="34" t="n">
        <v>47</v>
      </c>
      <c r="G42" s="46" t="n"/>
      <c r="H42" s="46" t="n"/>
      <c r="I42" s="47">
        <f>IFERROR(D42-F42-G42,"")</f>
        <v/>
      </c>
      <c r="J42" s="47">
        <f>IFERROR(D42-F42-H42,"")</f>
        <v/>
      </c>
    </row>
    <row r="43">
      <c r="A43" s="33" t="inlineStr">
        <is>
          <t>LG</t>
        </is>
      </c>
      <c r="B43" s="33" t="inlineStr">
        <is>
          <t>폴드7</t>
        </is>
      </c>
      <c r="C43" s="33" t="inlineStr">
        <is>
          <t>512GB</t>
        </is>
      </c>
      <c r="D43" s="33" t="n">
        <v>230</v>
      </c>
      <c r="E43" s="33" t="inlineStr">
        <is>
          <t>프리미어 슈퍼(125,000)</t>
        </is>
      </c>
      <c r="F43" s="34" t="n">
        <v>47</v>
      </c>
      <c r="G43" s="46" t="n"/>
      <c r="H43" s="46" t="n"/>
      <c r="I43" s="47">
        <f>IFERROR(D43-F43-G43,"")</f>
        <v/>
      </c>
      <c r="J43" s="47">
        <f>IFERROR(D43-F43-H43,"")</f>
        <v/>
      </c>
    </row>
    <row r="44">
      <c r="A44" s="33" t="inlineStr">
        <is>
          <t>LG</t>
        </is>
      </c>
      <c r="B44" s="33" t="inlineStr">
        <is>
          <t>S25</t>
        </is>
      </c>
      <c r="C44" s="33" t="inlineStr">
        <is>
          <t>512GB</t>
        </is>
      </c>
      <c r="D44" s="33" t="n">
        <v>115</v>
      </c>
      <c r="E44" s="33" t="inlineStr">
        <is>
          <t>프리미어 슈퍼(125,000)</t>
        </is>
      </c>
      <c r="F44" s="34" t="n">
        <v>47</v>
      </c>
      <c r="G44" s="46" t="n"/>
      <c r="H44" s="46" t="n"/>
      <c r="I44" s="47">
        <f>IFERROR(D44-F44-G44,"")</f>
        <v/>
      </c>
      <c r="J44" s="47">
        <f>IFERROR(D44-F44-H44,"")</f>
        <v/>
      </c>
    </row>
    <row r="45">
      <c r="A45" s="33" t="inlineStr">
        <is>
          <t>LG</t>
        </is>
      </c>
      <c r="B45" s="33" t="inlineStr">
        <is>
          <t>S25+</t>
        </is>
      </c>
      <c r="C45" s="33" t="inlineStr">
        <is>
          <t>512GB</t>
        </is>
      </c>
      <c r="D45" s="33" t="n">
        <v>130</v>
      </c>
      <c r="E45" s="33" t="inlineStr">
        <is>
          <t>프리미어 슈퍼(125,000)</t>
        </is>
      </c>
      <c r="F45" s="34" t="n">
        <v>47</v>
      </c>
      <c r="G45" s="46" t="n"/>
      <c r="H45" s="46" t="n"/>
      <c r="I45" s="47">
        <f>IFERROR(D45-F45-G45,"")</f>
        <v/>
      </c>
      <c r="J45" s="47">
        <f>IFERROR(D45-F45-H45,"")</f>
        <v/>
      </c>
    </row>
    <row r="46">
      <c r="A46" s="33" t="inlineStr">
        <is>
          <t>LG</t>
        </is>
      </c>
      <c r="B46" s="33" t="inlineStr">
        <is>
          <t>S25U</t>
        </is>
      </c>
      <c r="C46" s="33" t="inlineStr">
        <is>
          <t>512GB</t>
        </is>
      </c>
      <c r="D46" s="33" t="n">
        <v>170</v>
      </c>
      <c r="E46" s="33" t="inlineStr">
        <is>
          <t>프리미어 슈퍼(125,000)</t>
        </is>
      </c>
      <c r="F46" s="34" t="n">
        <v>47</v>
      </c>
      <c r="G46" s="46" t="n"/>
      <c r="H46" s="46" t="n"/>
      <c r="I46" s="47">
        <f>IFERROR(D46-F46-G46,"")</f>
        <v/>
      </c>
      <c r="J46" s="47">
        <f>IFERROR(D46-F46-H46,"")</f>
        <v/>
      </c>
    </row>
    <row r="47">
      <c r="A47" s="33" t="inlineStr">
        <is>
          <t>LG</t>
        </is>
      </c>
      <c r="B47" s="33" t="inlineStr">
        <is>
          <t>S25엣지</t>
        </is>
      </c>
      <c r="C47" s="33" t="inlineStr">
        <is>
          <t>512GB</t>
        </is>
      </c>
      <c r="D47" s="33" t="n">
        <v>150</v>
      </c>
      <c r="E47" s="33" t="inlineStr">
        <is>
          <t>프리미어 슈퍼(125,000)</t>
        </is>
      </c>
      <c r="F47" s="34" t="n">
        <v>47</v>
      </c>
      <c r="G47" s="46" t="n"/>
      <c r="H47" s="46" t="n"/>
      <c r="I47" s="47">
        <f>IFERROR(D47-F47-G47,"")</f>
        <v/>
      </c>
      <c r="J47" s="47">
        <f>IFERROR(D47-F47-H47,"")</f>
        <v/>
      </c>
    </row>
    <row r="48">
      <c r="A48" s="33" t="inlineStr">
        <is>
          <t>LG</t>
        </is>
      </c>
      <c r="B48" s="33" t="inlineStr">
        <is>
          <t>S25 FE</t>
        </is>
      </c>
      <c r="C48" s="33" t="inlineStr">
        <is>
          <t>512GB</t>
        </is>
      </c>
      <c r="D48" s="33" t="n">
        <v>95</v>
      </c>
      <c r="E48" s="33" t="inlineStr">
        <is>
          <t>프리미어 슈퍼(125,000)</t>
        </is>
      </c>
      <c r="F48" s="34" t="n">
        <v>47</v>
      </c>
      <c r="G48" s="46" t="n"/>
      <c r="H48" s="46" t="n"/>
      <c r="I48" s="47">
        <f>IFERROR(D48-F48-G48,"")</f>
        <v/>
      </c>
      <c r="J48" s="47">
        <f>IFERROR(D48-F48-H48,"")</f>
        <v/>
      </c>
    </row>
    <row r="49">
      <c r="A49" s="33" t="inlineStr">
        <is>
          <t>LG</t>
        </is>
      </c>
      <c r="B49" s="33" t="inlineStr">
        <is>
          <t>아이폰16</t>
        </is>
      </c>
      <c r="C49" s="33" t="inlineStr">
        <is>
          <t>512GB</t>
        </is>
      </c>
      <c r="D49" s="33" t="n">
        <v>125</v>
      </c>
      <c r="E49" s="33" t="inlineStr">
        <is>
          <t>프리미어 슈퍼(125,000)</t>
        </is>
      </c>
      <c r="F49" s="34" t="n">
        <v>47</v>
      </c>
      <c r="G49" s="46" t="n"/>
      <c r="H49" s="46" t="n"/>
      <c r="I49" s="47">
        <f>IFERROR(D49-F49-G49,"")</f>
        <v/>
      </c>
      <c r="J49" s="47">
        <f>IFERROR(D49-F49-H49,"")</f>
        <v/>
      </c>
    </row>
    <row r="50">
      <c r="A50" s="33" t="inlineStr">
        <is>
          <t>LG</t>
        </is>
      </c>
      <c r="B50" s="33" t="inlineStr">
        <is>
          <t>아이폰16 플러스</t>
        </is>
      </c>
      <c r="C50" s="33" t="inlineStr">
        <is>
          <t>512GB</t>
        </is>
      </c>
      <c r="D50" s="33" t="n">
        <v>140</v>
      </c>
      <c r="E50" s="33" t="inlineStr">
        <is>
          <t>프리미어 슈퍼(125,000)</t>
        </is>
      </c>
      <c r="F50" s="34" t="n">
        <v>47</v>
      </c>
      <c r="G50" s="46" t="n"/>
      <c r="H50" s="46" t="n"/>
      <c r="I50" s="47">
        <f>IFERROR(D50-F50-G50,"")</f>
        <v/>
      </c>
      <c r="J50" s="47">
        <f>IFERROR(D50-F50-H50,"")</f>
        <v/>
      </c>
    </row>
    <row r="51">
      <c r="A51" s="33" t="inlineStr">
        <is>
          <t>LG</t>
        </is>
      </c>
      <c r="B51" s="33" t="inlineStr">
        <is>
          <t>아이폰16 프로</t>
        </is>
      </c>
      <c r="C51" s="33" t="inlineStr">
        <is>
          <t>512GB</t>
        </is>
      </c>
      <c r="D51" s="33" t="n">
        <v>155</v>
      </c>
      <c r="E51" s="33" t="inlineStr">
        <is>
          <t>프리미어 슈퍼(125,000)</t>
        </is>
      </c>
      <c r="F51" s="34" t="n">
        <v>47</v>
      </c>
      <c r="G51" s="46" t="n"/>
      <c r="H51" s="46" t="n"/>
      <c r="I51" s="47">
        <f>IFERROR(D51-F51-G51,"")</f>
        <v/>
      </c>
      <c r="J51" s="47">
        <f>IFERROR(D51-F51-H51,"")</f>
        <v/>
      </c>
    </row>
    <row r="52">
      <c r="A52" s="33" t="inlineStr">
        <is>
          <t>LG</t>
        </is>
      </c>
      <c r="B52" s="33" t="inlineStr">
        <is>
          <t>아이폰16 프로맥스 256G</t>
        </is>
      </c>
      <c r="C52" s="33" t="inlineStr">
        <is>
          <t>512GB</t>
        </is>
      </c>
      <c r="D52" s="33" t="n">
        <v>190</v>
      </c>
      <c r="E52" s="33" t="inlineStr">
        <is>
          <t>프리미어 슈퍼(125,000)</t>
        </is>
      </c>
      <c r="F52" s="34" t="n">
        <v>47</v>
      </c>
      <c r="G52" s="46" t="n"/>
      <c r="H52" s="46" t="n"/>
      <c r="I52" s="47">
        <f>IFERROR(D52-F52-G52,"")</f>
        <v/>
      </c>
      <c r="J52" s="47">
        <f>IFERROR(D52-F52-H52,"")</f>
        <v/>
      </c>
    </row>
    <row r="53">
      <c r="A53" s="33" t="inlineStr">
        <is>
          <t>LG</t>
        </is>
      </c>
      <c r="B53" s="33" t="inlineStr">
        <is>
          <t>아이폰 17</t>
        </is>
      </c>
      <c r="C53" s="33" t="inlineStr">
        <is>
          <t>512GB</t>
        </is>
      </c>
      <c r="D53" s="33" t="n">
        <v>130</v>
      </c>
      <c r="E53" s="33" t="inlineStr">
        <is>
          <t>프리미어 슈퍼(125,000)</t>
        </is>
      </c>
      <c r="F53" s="34" t="n">
        <v>47</v>
      </c>
      <c r="G53" s="46" t="n"/>
      <c r="H53" s="46" t="n"/>
      <c r="I53" s="47">
        <f>IFERROR(D53-F53-G53,"")</f>
        <v/>
      </c>
      <c r="J53" s="47">
        <f>IFERROR(D53-F53-H53,"")</f>
        <v/>
      </c>
    </row>
    <row r="54">
      <c r="A54" s="33" t="inlineStr">
        <is>
          <t>LG</t>
        </is>
      </c>
      <c r="B54" s="33" t="inlineStr">
        <is>
          <t>아이폰17 AIR</t>
        </is>
      </c>
      <c r="C54" s="33" t="inlineStr">
        <is>
          <t>512GB</t>
        </is>
      </c>
      <c r="D54" s="33" t="n">
        <v>160</v>
      </c>
      <c r="E54" s="33" t="inlineStr">
        <is>
          <t>프리미어 슈퍼(125,000)</t>
        </is>
      </c>
      <c r="F54" s="34" t="n">
        <v>47</v>
      </c>
      <c r="G54" s="46" t="n"/>
      <c r="H54" s="46" t="n"/>
      <c r="I54" s="47">
        <f>IFERROR(D54-F54-G54,"")</f>
        <v/>
      </c>
      <c r="J54" s="47">
        <f>IFERROR(D54-F54-H54,"")</f>
        <v/>
      </c>
    </row>
    <row r="55">
      <c r="A55" s="33" t="inlineStr">
        <is>
          <t>LG</t>
        </is>
      </c>
      <c r="B55" s="33" t="inlineStr">
        <is>
          <t>아이폰17 PRO</t>
        </is>
      </c>
      <c r="C55" s="33" t="inlineStr">
        <is>
          <t>512GB</t>
        </is>
      </c>
      <c r="D55" s="33" t="n">
        <v>175</v>
      </c>
      <c r="E55" s="33" t="inlineStr">
        <is>
          <t>프리미어 슈퍼(125,000)</t>
        </is>
      </c>
      <c r="F55" s="34" t="n">
        <v>47</v>
      </c>
      <c r="G55" s="46" t="n"/>
      <c r="H55" s="46" t="n"/>
      <c r="I55" s="47">
        <f>IFERROR(D55-F55-G55,"")</f>
        <v/>
      </c>
      <c r="J55" s="47">
        <f>IFERROR(D55-F55-H55,"")</f>
        <v/>
      </c>
    </row>
    <row r="56">
      <c r="A56" s="33" t="inlineStr">
        <is>
          <t>LG</t>
        </is>
      </c>
      <c r="B56" s="33" t="inlineStr">
        <is>
          <t>아이폰17 프로맥스</t>
        </is>
      </c>
      <c r="C56" s="33" t="inlineStr">
        <is>
          <t>512GB</t>
        </is>
      </c>
      <c r="D56" s="33" t="n">
        <v>200</v>
      </c>
      <c r="E56" s="33" t="inlineStr">
        <is>
          <t>프리미어 슈퍼(125,000)</t>
        </is>
      </c>
      <c r="F56" s="34" t="n">
        <v>47</v>
      </c>
      <c r="G56" s="46" t="n"/>
      <c r="H56" s="46" t="n"/>
      <c r="I56" s="47">
        <f>IFERROR(D56-F56-G56,"")</f>
        <v/>
      </c>
      <c r="J56" s="47">
        <f>IFERROR(D56-F56-H56,"")</f>
        <v/>
      </c>
    </row>
    <row r="57"/>
    <row r="58" ht="260" customHeight="1">
      <c r="A58" s="38" t="inlineStr">
        <is>
          <t>※ G(번이 현금가) · H(기변 현금가)는 빈칸 — 매장이 직접 입력
※ I·J 봉이지원금은 G·H 입력 시 자동 계산 (빈 행은 빈칸 표시)
※ 입력값: D=출고가, F=공시지원금, G=번이 현금가, H=기변 현금가 (모두 만원 · 음수 허용)
※ 자동 계산 (봉이지원금 = 할부 시 페이백 금액 · 역산):
   · I (번이) = D − F − G
   · J (기변) = D − F − H
※ 봉이 거래 공식 (공시 케이스 — F 사용):
   · 현금: 출고가 − 공시지원금 − 봉이지원금 = 현금가
   · 할부: 위 봉이지원금 = 할부 페이백 (개통 14일 후 별도 현금 지급)
   · 예①) 180 − 50 − 봉이지원금 = 10  → 봉이지원금 = 120만
   · 예②) 180 − 50 − 봉이지원금 = −10 → 봉이지원금 = 140만 (현금가 음수 = 매장이 고객에 페이백 → 봉이가 매장에 더 보상)
※ 봉이 거래 공식 (선택약정 25% 케이스 — F 미사용):
   · 현금: 출고가 − 봉이지원금 = 선약 현금가 (공시지원금 없음)
   · 할부: 위 봉이지원금 = 선약 할부 페이백
   · 예) 180 − 봉이지원금 = 30 → 봉이지원금 = 150만 / + 월 요금 25%↓ 별도
   · 선약 봉이지원금 계산은 F열을 0으로 두고 동일 컬럼(I·J) 사용하거나 별도 행으로 입력
※ 할부 24개월 / 수수료 5.9% 원리금균등 (할부원금은 통신사 시스템 정책)
※ 공시지원금 ↔ 선택약정 동시 적용 불가 (택1)</t>
        </is>
      </c>
    </row>
  </sheetData>
  <mergeCells count="2">
    <mergeCell ref="A58:J58"/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4" customWidth="1" min="3" max="3"/>
    <col width="12" customWidth="1" min="4" max="4"/>
  </cols>
  <sheetData>
    <row r="1" ht="34" customHeight="1">
      <c r="A1" s="4" t="inlineStr">
        <is>
          <t>📇 유심 시세 · 9행 (샘플 값 포함)</t>
        </is>
      </c>
    </row>
    <row r="2" ht="26" customHeight="1">
      <c r="A2" s="5" t="inlineStr">
        <is>
          <t>통신사</t>
        </is>
      </c>
      <c r="B2" s="5" t="inlineStr">
        <is>
          <t>요금제(월요금)</t>
        </is>
      </c>
      <c r="C2" s="5" t="inlineStr">
        <is>
          <t>25%↓실납</t>
        </is>
      </c>
      <c r="D2" s="5" t="inlineStr">
        <is>
          <t>번이</t>
        </is>
      </c>
    </row>
    <row r="3">
      <c r="A3" s="6" t="inlineStr">
        <is>
          <t>SK</t>
        </is>
      </c>
      <c r="B3" s="7" t="inlineStr">
        <is>
          <t>5GX 슬림(33,000)</t>
        </is>
      </c>
      <c r="C3" s="7" t="inlineStr">
        <is>
          <t>24,750</t>
        </is>
      </c>
      <c r="D3" s="8" t="n">
        <v>-40</v>
      </c>
    </row>
    <row r="4">
      <c r="A4" s="6" t="inlineStr">
        <is>
          <t>SK</t>
        </is>
      </c>
      <c r="B4" s="7" t="inlineStr">
        <is>
          <t>베이직 플러스(45,000)</t>
        </is>
      </c>
      <c r="C4" s="7" t="inlineStr">
        <is>
          <t>33,750</t>
        </is>
      </c>
      <c r="D4" s="8" t="n">
        <v>-35</v>
      </c>
    </row>
    <row r="5">
      <c r="A5" s="6" t="inlineStr">
        <is>
          <t>SK</t>
        </is>
      </c>
      <c r="B5" s="7" t="inlineStr">
        <is>
          <t>5GX 레귤러(55,000)</t>
        </is>
      </c>
      <c r="C5" s="7" t="inlineStr">
        <is>
          <t>41,250</t>
        </is>
      </c>
      <c r="D5" s="8" t="n">
        <v>-40</v>
      </c>
    </row>
    <row r="6">
      <c r="A6" s="10" t="inlineStr">
        <is>
          <t>KT</t>
        </is>
      </c>
      <c r="B6" s="7" t="inlineStr">
        <is>
          <t>5G 슬림(37,000)</t>
        </is>
      </c>
      <c r="C6" s="7" t="inlineStr">
        <is>
          <t>27,750</t>
        </is>
      </c>
      <c r="D6" s="8" t="n">
        <v>-15</v>
      </c>
    </row>
    <row r="7">
      <c r="A7" s="10" t="inlineStr">
        <is>
          <t>KT</t>
        </is>
      </c>
      <c r="B7" s="7" t="inlineStr">
        <is>
          <t>5G 심플(50,000)</t>
        </is>
      </c>
      <c r="C7" s="7" t="inlineStr">
        <is>
          <t>37,500</t>
        </is>
      </c>
      <c r="D7" s="8" t="n">
        <v>-20</v>
      </c>
    </row>
    <row r="8">
      <c r="A8" s="10" t="inlineStr">
        <is>
          <t>KT</t>
        </is>
      </c>
      <c r="B8" s="7" t="inlineStr">
        <is>
          <t>5G 비디오(69,000)</t>
        </is>
      </c>
      <c r="C8" s="7" t="inlineStr">
        <is>
          <t>51,750</t>
        </is>
      </c>
      <c r="D8" s="8" t="n">
        <v>-25</v>
      </c>
    </row>
    <row r="9">
      <c r="A9" s="11" t="inlineStr">
        <is>
          <t>LG</t>
        </is>
      </c>
      <c r="B9" s="7" t="inlineStr">
        <is>
          <t>5G 슬림+(33,000)</t>
        </is>
      </c>
      <c r="C9" s="7" t="inlineStr">
        <is>
          <t>24,750</t>
        </is>
      </c>
      <c r="D9" s="8" t="n">
        <v>-15</v>
      </c>
    </row>
    <row r="10">
      <c r="A10" s="11" t="inlineStr">
        <is>
          <t>LG</t>
        </is>
      </c>
      <c r="B10" s="7" t="inlineStr">
        <is>
          <t>5G 스탠다드(61,000)</t>
        </is>
      </c>
      <c r="C10" s="7" t="inlineStr">
        <is>
          <t>45,750</t>
        </is>
      </c>
      <c r="D10" s="8" t="n">
        <v>-30</v>
      </c>
    </row>
    <row r="11">
      <c r="A11" s="11" t="inlineStr">
        <is>
          <t>LG</t>
        </is>
      </c>
      <c r="B11" s="7" t="inlineStr">
        <is>
          <t>5G 프리미어 레귤러(85,000)</t>
        </is>
      </c>
      <c r="C11" s="7" t="inlineStr">
        <is>
          <t>63,750</t>
        </is>
      </c>
      <c r="D11" s="8" t="n">
        <v>-40</v>
      </c>
    </row>
    <row r="13" ht="80" customHeight="1">
      <c r="A13" s="12" t="inlineStr">
        <is>
          <t>※ 유심은 MNP(번호이동) 전용 · 펫네임/기변 없음 · 번이(만원)만 입력
※ 실납 = 월요금 × 0.75 (선택약정 25% 할인 · SK/KT 개통시 · LG 개통 후 고객센터 신청)
※ 샘플 값 입력됨 — 매장/온라인이 각자 자기 페이백 값으로 덮어쓰기
※ 유심비: SK/LG 다음 달 청구 · KT 선납 · 유지기간: SK M+6 / KT·LG 183일</t>
        </is>
      </c>
    </row>
  </sheetData>
  <mergeCells count="2">
    <mergeCell ref="A1:D1"/>
    <mergeCell ref="A13:D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50" customWidth="1" min="4" max="4"/>
    <col width="14" customWidth="1" min="5" max="5"/>
  </cols>
  <sheetData>
    <row r="1">
      <c r="A1" s="20" t="inlineStr">
        <is>
          <t>📡 인터넷+TV 사은품 · 통합 1개 (온·오프라인 공통) · 63개 상품</t>
        </is>
      </c>
    </row>
    <row r="2">
      <c r="A2" s="21" t="inlineStr">
        <is>
          <t>#</t>
        </is>
      </c>
      <c r="B2" s="21" t="inlineStr">
        <is>
          <t>통신사</t>
        </is>
      </c>
      <c r="C2" s="21" t="inlineStr">
        <is>
          <t>구분</t>
        </is>
      </c>
      <c r="D2" s="21" t="inlineStr">
        <is>
          <t>상품 구성</t>
        </is>
      </c>
      <c r="E2" s="21" t="inlineStr">
        <is>
          <t>사은품(원)</t>
        </is>
      </c>
    </row>
    <row r="3">
      <c r="A3" s="22" t="n">
        <v>1</v>
      </c>
      <c r="B3" s="23" t="inlineStr">
        <is>
          <t>SKT</t>
        </is>
      </c>
      <c r="C3" s="24" t="inlineStr">
        <is>
          <t>단독</t>
        </is>
      </c>
      <c r="D3" t="inlineStr">
        <is>
          <t>인터넷 100M</t>
        </is>
      </c>
      <c r="E3" s="25" t="n">
        <v>110000</v>
      </c>
    </row>
    <row r="4">
      <c r="A4" s="22" t="n">
        <v>2</v>
      </c>
      <c r="B4" s="23" t="inlineStr">
        <is>
          <t>SKT</t>
        </is>
      </c>
      <c r="C4" s="24" t="inlineStr">
        <is>
          <t>단독</t>
        </is>
      </c>
      <c r="D4" t="inlineStr">
        <is>
          <t>인터넷 500M</t>
        </is>
      </c>
      <c r="E4" s="25" t="n">
        <v>170000</v>
      </c>
    </row>
    <row r="5">
      <c r="A5" s="22" t="n">
        <v>3</v>
      </c>
      <c r="B5" s="23" t="inlineStr">
        <is>
          <t>SKT</t>
        </is>
      </c>
      <c r="C5" s="24" t="inlineStr">
        <is>
          <t>단독</t>
        </is>
      </c>
      <c r="D5" t="inlineStr">
        <is>
          <t>인터넷 1G</t>
        </is>
      </c>
      <c r="E5" s="25" t="n">
        <v>170000</v>
      </c>
    </row>
    <row r="6">
      <c r="A6" s="22" t="n">
        <v>4</v>
      </c>
      <c r="B6" s="23" t="inlineStr">
        <is>
          <t>SKT</t>
        </is>
      </c>
      <c r="C6" s="26" t="inlineStr">
        <is>
          <t>결합</t>
        </is>
      </c>
      <c r="D6" t="inlineStr">
        <is>
          <t>인터넷 100M + B tv 이코노미</t>
        </is>
      </c>
      <c r="E6" s="25" t="n">
        <v>400000</v>
      </c>
    </row>
    <row r="7">
      <c r="A7" s="22" t="n">
        <v>5</v>
      </c>
      <c r="B7" s="23" t="inlineStr">
        <is>
          <t>SKT</t>
        </is>
      </c>
      <c r="C7" s="26" t="inlineStr">
        <is>
          <t>결합</t>
        </is>
      </c>
      <c r="D7" t="inlineStr">
        <is>
          <t>인터넷 100M + B tv 스탠다드</t>
        </is>
      </c>
      <c r="E7" s="25" t="n">
        <v>400000</v>
      </c>
    </row>
    <row r="8">
      <c r="A8" s="22" t="n">
        <v>6</v>
      </c>
      <c r="B8" s="23" t="inlineStr">
        <is>
          <t>SKT</t>
        </is>
      </c>
      <c r="C8" s="26" t="inlineStr">
        <is>
          <t>결합</t>
        </is>
      </c>
      <c r="D8" t="inlineStr">
        <is>
          <t>인터넷 100M + B tv 올</t>
        </is>
      </c>
      <c r="E8" s="25" t="n">
        <v>400000</v>
      </c>
    </row>
    <row r="9">
      <c r="A9" s="22" t="n">
        <v>7</v>
      </c>
      <c r="B9" s="23" t="inlineStr">
        <is>
          <t>SKT</t>
        </is>
      </c>
      <c r="C9" s="26" t="inlineStr">
        <is>
          <t>결합</t>
        </is>
      </c>
      <c r="D9" t="inlineStr">
        <is>
          <t>인터넷 100M + B tv 스탠다드 플러스</t>
        </is>
      </c>
      <c r="E9" s="25" t="n">
        <v>400000</v>
      </c>
    </row>
    <row r="10">
      <c r="A10" s="22" t="n">
        <v>8</v>
      </c>
      <c r="B10" s="23" t="inlineStr">
        <is>
          <t>SKT</t>
        </is>
      </c>
      <c r="C10" s="26" t="inlineStr">
        <is>
          <t>결합</t>
        </is>
      </c>
      <c r="D10" t="inlineStr">
        <is>
          <t>인터넷 100M + B tv 올 플러스</t>
        </is>
      </c>
      <c r="E10" s="25" t="n">
        <v>400000</v>
      </c>
    </row>
    <row r="11">
      <c r="A11" s="22" t="n">
        <v>9</v>
      </c>
      <c r="B11" s="23" t="inlineStr">
        <is>
          <t>SKT</t>
        </is>
      </c>
      <c r="C11" s="26" t="inlineStr">
        <is>
          <t>결합</t>
        </is>
      </c>
      <c r="D11" t="inlineStr">
        <is>
          <t>인터넷 100M + B tv 스탠다드 넷플릭스</t>
        </is>
      </c>
      <c r="E11" s="25" t="n">
        <v>400000</v>
      </c>
    </row>
    <row r="12">
      <c r="A12" s="22" t="n">
        <v>10</v>
      </c>
      <c r="B12" s="23" t="inlineStr">
        <is>
          <t>SKT</t>
        </is>
      </c>
      <c r="C12" s="26" t="inlineStr">
        <is>
          <t>결합</t>
        </is>
      </c>
      <c r="D12" t="inlineStr">
        <is>
          <t>인터넷 100M + B tv 올 넷플릭스</t>
        </is>
      </c>
      <c r="E12" s="25" t="n">
        <v>400000</v>
      </c>
    </row>
    <row r="13">
      <c r="A13" s="22" t="n">
        <v>11</v>
      </c>
      <c r="B13" s="23" t="inlineStr">
        <is>
          <t>SKT</t>
        </is>
      </c>
      <c r="C13" s="26" t="inlineStr">
        <is>
          <t>결합</t>
        </is>
      </c>
      <c r="D13" t="inlineStr">
        <is>
          <t>인터넷 100M + B tv 스탠다드 넷플릭스 프리미엄</t>
        </is>
      </c>
      <c r="E13" s="25" t="n">
        <v>400000</v>
      </c>
    </row>
    <row r="14">
      <c r="A14" s="22" t="n">
        <v>12</v>
      </c>
      <c r="B14" s="23" t="inlineStr">
        <is>
          <t>SKT</t>
        </is>
      </c>
      <c r="C14" s="26" t="inlineStr">
        <is>
          <t>결합</t>
        </is>
      </c>
      <c r="D14" t="inlineStr">
        <is>
          <t>인터넷 100M + B tv 올 넷플릭스 프리미엄</t>
        </is>
      </c>
      <c r="E14" s="25" t="n">
        <v>400000</v>
      </c>
    </row>
    <row r="15">
      <c r="A15" s="22" t="n">
        <v>13</v>
      </c>
      <c r="B15" s="23" t="inlineStr">
        <is>
          <t>SKT</t>
        </is>
      </c>
      <c r="C15" s="26" t="inlineStr">
        <is>
          <t>결합</t>
        </is>
      </c>
      <c r="D15" t="inlineStr">
        <is>
          <t>인터넷 500M + B tv 이코노미</t>
        </is>
      </c>
      <c r="E15" s="25" t="n">
        <v>430000</v>
      </c>
    </row>
    <row r="16">
      <c r="A16" s="22" t="n">
        <v>14</v>
      </c>
      <c r="B16" s="23" t="inlineStr">
        <is>
          <t>SKT</t>
        </is>
      </c>
      <c r="C16" s="26" t="inlineStr">
        <is>
          <t>결합</t>
        </is>
      </c>
      <c r="D16" t="inlineStr">
        <is>
          <t>인터넷 500M + B tv 스탠다드</t>
        </is>
      </c>
      <c r="E16" s="25" t="n">
        <v>430000</v>
      </c>
    </row>
    <row r="17">
      <c r="A17" s="22" t="n">
        <v>15</v>
      </c>
      <c r="B17" s="23" t="inlineStr">
        <is>
          <t>SKT</t>
        </is>
      </c>
      <c r="C17" s="26" t="inlineStr">
        <is>
          <t>결합</t>
        </is>
      </c>
      <c r="D17" t="inlineStr">
        <is>
          <t>인터넷 500M + B tv 올</t>
        </is>
      </c>
      <c r="E17" s="25" t="n">
        <v>430000</v>
      </c>
    </row>
    <row r="18">
      <c r="A18" s="22" t="n">
        <v>16</v>
      </c>
      <c r="B18" s="23" t="inlineStr">
        <is>
          <t>SKT</t>
        </is>
      </c>
      <c r="C18" s="26" t="inlineStr">
        <is>
          <t>결합</t>
        </is>
      </c>
      <c r="D18" t="inlineStr">
        <is>
          <t>인터넷 500M + B tv 스탠다드 플러스</t>
        </is>
      </c>
      <c r="E18" s="25" t="n">
        <v>430000</v>
      </c>
    </row>
    <row r="19">
      <c r="A19" s="22" t="n">
        <v>17</v>
      </c>
      <c r="B19" s="23" t="inlineStr">
        <is>
          <t>SKT</t>
        </is>
      </c>
      <c r="C19" s="26" t="inlineStr">
        <is>
          <t>결합</t>
        </is>
      </c>
      <c r="D19" t="inlineStr">
        <is>
          <t>인터넷 500M + B tv 올 플러스</t>
        </is>
      </c>
      <c r="E19" s="25" t="n">
        <v>430000</v>
      </c>
    </row>
    <row r="20">
      <c r="A20" s="22" t="n">
        <v>18</v>
      </c>
      <c r="B20" s="23" t="inlineStr">
        <is>
          <t>SKT</t>
        </is>
      </c>
      <c r="C20" s="26" t="inlineStr">
        <is>
          <t>결합</t>
        </is>
      </c>
      <c r="D20" t="inlineStr">
        <is>
          <t>인터넷 500M + B tv 스탠다드 넷플릭스</t>
        </is>
      </c>
      <c r="E20" s="25" t="n">
        <v>430000</v>
      </c>
    </row>
    <row r="21">
      <c r="A21" s="22" t="n">
        <v>19</v>
      </c>
      <c r="B21" s="23" t="inlineStr">
        <is>
          <t>SKT</t>
        </is>
      </c>
      <c r="C21" s="26" t="inlineStr">
        <is>
          <t>결합</t>
        </is>
      </c>
      <c r="D21" t="inlineStr">
        <is>
          <t>인터넷 500M + B tv 올 넷플릭스</t>
        </is>
      </c>
      <c r="E21" s="25" t="n">
        <v>430000</v>
      </c>
    </row>
    <row r="22">
      <c r="A22" s="22" t="n">
        <v>20</v>
      </c>
      <c r="B22" s="23" t="inlineStr">
        <is>
          <t>SKT</t>
        </is>
      </c>
      <c r="C22" s="26" t="inlineStr">
        <is>
          <t>결합</t>
        </is>
      </c>
      <c r="D22" t="inlineStr">
        <is>
          <t>인터넷 500M + B tv 스탠다드 넷플릭스 프리미엄</t>
        </is>
      </c>
      <c r="E22" s="25" t="n">
        <v>430000</v>
      </c>
    </row>
    <row r="23">
      <c r="A23" s="22" t="n">
        <v>21</v>
      </c>
      <c r="B23" s="23" t="inlineStr">
        <is>
          <t>SKT</t>
        </is>
      </c>
      <c r="C23" s="26" t="inlineStr">
        <is>
          <t>결합</t>
        </is>
      </c>
      <c r="D23" t="inlineStr">
        <is>
          <t>인터넷 500M + B tv 올 넷플릭스 프리미엄</t>
        </is>
      </c>
      <c r="E23" s="25" t="n">
        <v>430000</v>
      </c>
    </row>
    <row r="24">
      <c r="A24" s="22" t="n">
        <v>22</v>
      </c>
      <c r="B24" s="23" t="inlineStr">
        <is>
          <t>SKT</t>
        </is>
      </c>
      <c r="C24" s="26" t="inlineStr">
        <is>
          <t>결합</t>
        </is>
      </c>
      <c r="D24" t="inlineStr">
        <is>
          <t>인터넷 1G + B tv 이코노미</t>
        </is>
      </c>
      <c r="E24" s="25" t="n">
        <v>490000</v>
      </c>
    </row>
    <row r="25">
      <c r="A25" s="22" t="n">
        <v>23</v>
      </c>
      <c r="B25" s="23" t="inlineStr">
        <is>
          <t>SKT</t>
        </is>
      </c>
      <c r="C25" s="26" t="inlineStr">
        <is>
          <t>결합</t>
        </is>
      </c>
      <c r="D25" t="inlineStr">
        <is>
          <t>인터넷 1G + B tv 스탠다드</t>
        </is>
      </c>
      <c r="E25" s="25" t="n">
        <v>490000</v>
      </c>
    </row>
    <row r="26">
      <c r="A26" s="22" t="n">
        <v>24</v>
      </c>
      <c r="B26" s="23" t="inlineStr">
        <is>
          <t>SKT</t>
        </is>
      </c>
      <c r="C26" s="26" t="inlineStr">
        <is>
          <t>결합</t>
        </is>
      </c>
      <c r="D26" t="inlineStr">
        <is>
          <t>인터넷 1G + B tv 올</t>
        </is>
      </c>
      <c r="E26" s="25" t="n">
        <v>490000</v>
      </c>
    </row>
    <row r="27">
      <c r="A27" s="22" t="n">
        <v>25</v>
      </c>
      <c r="B27" s="23" t="inlineStr">
        <is>
          <t>SKT</t>
        </is>
      </c>
      <c r="C27" s="26" t="inlineStr">
        <is>
          <t>결합</t>
        </is>
      </c>
      <c r="D27" t="inlineStr">
        <is>
          <t>인터넷 1G + B tv 스탠다드 플러스</t>
        </is>
      </c>
      <c r="E27" s="25" t="n">
        <v>490000</v>
      </c>
    </row>
    <row r="28">
      <c r="A28" s="22" t="n">
        <v>26</v>
      </c>
      <c r="B28" s="23" t="inlineStr">
        <is>
          <t>SKT</t>
        </is>
      </c>
      <c r="C28" s="26" t="inlineStr">
        <is>
          <t>결합</t>
        </is>
      </c>
      <c r="D28" t="inlineStr">
        <is>
          <t>인터넷 1G + B tv 올 플러스</t>
        </is>
      </c>
      <c r="E28" s="25" t="n">
        <v>490000</v>
      </c>
    </row>
    <row r="29">
      <c r="A29" s="22" t="n">
        <v>27</v>
      </c>
      <c r="B29" s="23" t="inlineStr">
        <is>
          <t>SKT</t>
        </is>
      </c>
      <c r="C29" s="26" t="inlineStr">
        <is>
          <t>결합</t>
        </is>
      </c>
      <c r="D29" t="inlineStr">
        <is>
          <t>인터넷 1G + B tv 스탠다드 넷플릭스</t>
        </is>
      </c>
      <c r="E29" s="25" t="n">
        <v>490000</v>
      </c>
    </row>
    <row r="30">
      <c r="A30" s="22" t="n">
        <v>28</v>
      </c>
      <c r="B30" s="23" t="inlineStr">
        <is>
          <t>SKT</t>
        </is>
      </c>
      <c r="C30" s="26" t="inlineStr">
        <is>
          <t>결합</t>
        </is>
      </c>
      <c r="D30" t="inlineStr">
        <is>
          <t>인터넷 1G + B tv 올 넷플릭스</t>
        </is>
      </c>
      <c r="E30" s="25" t="n">
        <v>490000</v>
      </c>
    </row>
    <row r="31">
      <c r="A31" s="22" t="n">
        <v>29</v>
      </c>
      <c r="B31" s="23" t="inlineStr">
        <is>
          <t>SKT</t>
        </is>
      </c>
      <c r="C31" s="26" t="inlineStr">
        <is>
          <t>결합</t>
        </is>
      </c>
      <c r="D31" t="inlineStr">
        <is>
          <t>인터넷 1G + B tv 스탠다드 넷플릭스 프리미엄</t>
        </is>
      </c>
      <c r="E31" s="25" t="n">
        <v>490000</v>
      </c>
    </row>
    <row r="32">
      <c r="A32" s="22" t="n">
        <v>30</v>
      </c>
      <c r="B32" s="23" t="inlineStr">
        <is>
          <t>SKT</t>
        </is>
      </c>
      <c r="C32" s="26" t="inlineStr">
        <is>
          <t>결합</t>
        </is>
      </c>
      <c r="D32" t="inlineStr">
        <is>
          <t>인터넷 1G + B tv 올 넷플릭스 프리미엄</t>
        </is>
      </c>
      <c r="E32" s="25" t="n">
        <v>490000</v>
      </c>
    </row>
    <row r="33">
      <c r="A33" s="22" t="n">
        <v>31</v>
      </c>
      <c r="B33" s="27" t="inlineStr">
        <is>
          <t>KT</t>
        </is>
      </c>
      <c r="C33" s="24" t="inlineStr">
        <is>
          <t>단독</t>
        </is>
      </c>
      <c r="D33" t="inlineStr">
        <is>
          <t>인터넷 100M</t>
        </is>
      </c>
      <c r="E33" s="25" t="n">
        <v>90000</v>
      </c>
    </row>
    <row r="34">
      <c r="A34" s="22" t="n">
        <v>32</v>
      </c>
      <c r="B34" s="27" t="inlineStr">
        <is>
          <t>KT</t>
        </is>
      </c>
      <c r="C34" s="24" t="inlineStr">
        <is>
          <t>단독</t>
        </is>
      </c>
      <c r="D34" t="inlineStr">
        <is>
          <t>인터넷 500M</t>
        </is>
      </c>
      <c r="E34" s="25" t="n">
        <v>140000</v>
      </c>
    </row>
    <row r="35">
      <c r="A35" s="22" t="n">
        <v>33</v>
      </c>
      <c r="B35" s="27" t="inlineStr">
        <is>
          <t>KT</t>
        </is>
      </c>
      <c r="C35" s="24" t="inlineStr">
        <is>
          <t>단독</t>
        </is>
      </c>
      <c r="D35" t="inlineStr">
        <is>
          <t>인터넷 1G</t>
        </is>
      </c>
      <c r="E35" s="25" t="n">
        <v>140000</v>
      </c>
    </row>
    <row r="36">
      <c r="A36" s="22" t="n">
        <v>34</v>
      </c>
      <c r="B36" s="27" t="inlineStr">
        <is>
          <t>KT</t>
        </is>
      </c>
      <c r="C36" s="26" t="inlineStr">
        <is>
          <t>결합</t>
        </is>
      </c>
      <c r="D36" t="inlineStr">
        <is>
          <t>인터넷 100M + 지니TV 베이직</t>
        </is>
      </c>
      <c r="E36" s="25" t="n">
        <v>370000</v>
      </c>
    </row>
    <row r="37">
      <c r="A37" s="22" t="n">
        <v>35</v>
      </c>
      <c r="B37" s="27" t="inlineStr">
        <is>
          <t>KT</t>
        </is>
      </c>
      <c r="C37" s="26" t="inlineStr">
        <is>
          <t>결합</t>
        </is>
      </c>
      <c r="D37" t="inlineStr">
        <is>
          <t>인터넷 100M + 지니TV 라이트</t>
        </is>
      </c>
      <c r="E37" s="25" t="n">
        <v>370000</v>
      </c>
    </row>
    <row r="38">
      <c r="A38" s="22" t="n">
        <v>36</v>
      </c>
      <c r="B38" s="27" t="inlineStr">
        <is>
          <t>KT</t>
        </is>
      </c>
      <c r="C38" s="26" t="inlineStr">
        <is>
          <t>결합</t>
        </is>
      </c>
      <c r="D38" t="inlineStr">
        <is>
          <t>인터넷 100M + 지니TV 에센스</t>
        </is>
      </c>
      <c r="E38" s="25" t="n">
        <v>370000</v>
      </c>
    </row>
    <row r="39">
      <c r="A39" s="22" t="n">
        <v>37</v>
      </c>
      <c r="B39" s="27" t="inlineStr">
        <is>
          <t>KT</t>
        </is>
      </c>
      <c r="C39" s="26" t="inlineStr">
        <is>
          <t>결합</t>
        </is>
      </c>
      <c r="D39" t="inlineStr">
        <is>
          <t>인터넷 100M + 지니TV 모든G</t>
        </is>
      </c>
      <c r="E39" s="25" t="n">
        <v>370000</v>
      </c>
    </row>
    <row r="40">
      <c r="A40" s="22" t="n">
        <v>38</v>
      </c>
      <c r="B40" s="27" t="inlineStr">
        <is>
          <t>KT</t>
        </is>
      </c>
      <c r="C40" s="26" t="inlineStr">
        <is>
          <t>결합</t>
        </is>
      </c>
      <c r="D40" t="inlineStr">
        <is>
          <t>인터넷 100M + 지니TV 디즈니+모든G</t>
        </is>
      </c>
      <c r="E40" s="25" t="n">
        <v>370000</v>
      </c>
    </row>
    <row r="41">
      <c r="A41" s="22" t="n">
        <v>39</v>
      </c>
      <c r="B41" s="27" t="inlineStr">
        <is>
          <t>KT</t>
        </is>
      </c>
      <c r="C41" s="26" t="inlineStr">
        <is>
          <t>결합</t>
        </is>
      </c>
      <c r="D41" t="inlineStr">
        <is>
          <t>인터넷 500M + 지니TV 베이직</t>
        </is>
      </c>
      <c r="E41" s="25" t="n">
        <v>450000</v>
      </c>
    </row>
    <row r="42">
      <c r="A42" s="22" t="n">
        <v>40</v>
      </c>
      <c r="B42" s="27" t="inlineStr">
        <is>
          <t>KT</t>
        </is>
      </c>
      <c r="C42" s="26" t="inlineStr">
        <is>
          <t>결합</t>
        </is>
      </c>
      <c r="D42" t="inlineStr">
        <is>
          <t>인터넷 500M + 지니TV 라이트</t>
        </is>
      </c>
      <c r="E42" s="25" t="n">
        <v>450000</v>
      </c>
    </row>
    <row r="43">
      <c r="A43" s="22" t="n">
        <v>41</v>
      </c>
      <c r="B43" s="27" t="inlineStr">
        <is>
          <t>KT</t>
        </is>
      </c>
      <c r="C43" s="26" t="inlineStr">
        <is>
          <t>결합</t>
        </is>
      </c>
      <c r="D43" t="inlineStr">
        <is>
          <t>인터넷 500M + 지니TV 에센스</t>
        </is>
      </c>
      <c r="E43" s="25" t="n">
        <v>450000</v>
      </c>
    </row>
    <row r="44">
      <c r="A44" s="22" t="n">
        <v>42</v>
      </c>
      <c r="B44" s="27" t="inlineStr">
        <is>
          <t>KT</t>
        </is>
      </c>
      <c r="C44" s="26" t="inlineStr">
        <is>
          <t>결합</t>
        </is>
      </c>
      <c r="D44" t="inlineStr">
        <is>
          <t>인터넷 500M + 지니TV 모든G</t>
        </is>
      </c>
      <c r="E44" s="25" t="n">
        <v>450000</v>
      </c>
    </row>
    <row r="45">
      <c r="A45" s="22" t="n">
        <v>43</v>
      </c>
      <c r="B45" s="27" t="inlineStr">
        <is>
          <t>KT</t>
        </is>
      </c>
      <c r="C45" s="26" t="inlineStr">
        <is>
          <t>결합</t>
        </is>
      </c>
      <c r="D45" t="inlineStr">
        <is>
          <t>인터넷 500M + 지니TV 디즈니+모든G</t>
        </is>
      </c>
      <c r="E45" s="25" t="n">
        <v>450000</v>
      </c>
    </row>
    <row r="46">
      <c r="A46" s="22" t="n">
        <v>44</v>
      </c>
      <c r="B46" s="27" t="inlineStr">
        <is>
          <t>KT</t>
        </is>
      </c>
      <c r="C46" s="26" t="inlineStr">
        <is>
          <t>결합</t>
        </is>
      </c>
      <c r="D46" t="inlineStr">
        <is>
          <t>인터넷 1G + 지니TV 베이직</t>
        </is>
      </c>
      <c r="E46" s="25" t="n">
        <v>450000</v>
      </c>
    </row>
    <row r="47">
      <c r="A47" s="22" t="n">
        <v>45</v>
      </c>
      <c r="B47" s="27" t="inlineStr">
        <is>
          <t>KT</t>
        </is>
      </c>
      <c r="C47" s="26" t="inlineStr">
        <is>
          <t>결합</t>
        </is>
      </c>
      <c r="D47" t="inlineStr">
        <is>
          <t>인터넷 1G + 지니TV 라이트</t>
        </is>
      </c>
      <c r="E47" s="25" t="n">
        <v>450000</v>
      </c>
    </row>
    <row r="48">
      <c r="A48" s="22" t="n">
        <v>46</v>
      </c>
      <c r="B48" s="27" t="inlineStr">
        <is>
          <t>KT</t>
        </is>
      </c>
      <c r="C48" s="26" t="inlineStr">
        <is>
          <t>결합</t>
        </is>
      </c>
      <c r="D48" t="inlineStr">
        <is>
          <t>인터넷 1G + 지니TV 에센스</t>
        </is>
      </c>
      <c r="E48" s="25" t="n">
        <v>450000</v>
      </c>
    </row>
    <row r="49">
      <c r="A49" s="22" t="n">
        <v>47</v>
      </c>
      <c r="B49" s="27" t="inlineStr">
        <is>
          <t>KT</t>
        </is>
      </c>
      <c r="C49" s="26" t="inlineStr">
        <is>
          <t>결합</t>
        </is>
      </c>
      <c r="D49" t="inlineStr">
        <is>
          <t>인터넷 1G + 지니TV 모든G</t>
        </is>
      </c>
      <c r="E49" s="25" t="n">
        <v>450000</v>
      </c>
    </row>
    <row r="50">
      <c r="A50" s="22" t="n">
        <v>48</v>
      </c>
      <c r="B50" s="27" t="inlineStr">
        <is>
          <t>KT</t>
        </is>
      </c>
      <c r="C50" s="26" t="inlineStr">
        <is>
          <t>결합</t>
        </is>
      </c>
      <c r="D50" t="inlineStr">
        <is>
          <t>인터넷 1G + 지니TV 디즈니+모든G</t>
        </is>
      </c>
      <c r="E50" s="25" t="n">
        <v>450000</v>
      </c>
    </row>
    <row r="51">
      <c r="A51" s="22" t="n">
        <v>49</v>
      </c>
      <c r="B51" s="28" t="inlineStr">
        <is>
          <t>LG U+</t>
        </is>
      </c>
      <c r="C51" s="24" t="inlineStr">
        <is>
          <t>단독</t>
        </is>
      </c>
      <c r="D51" t="inlineStr">
        <is>
          <t>인터넷 100M</t>
        </is>
      </c>
      <c r="E51" s="25" t="n">
        <v>200000</v>
      </c>
    </row>
    <row r="52">
      <c r="A52" s="22" t="n">
        <v>50</v>
      </c>
      <c r="B52" s="28" t="inlineStr">
        <is>
          <t>LG U+</t>
        </is>
      </c>
      <c r="C52" s="24" t="inlineStr">
        <is>
          <t>단독</t>
        </is>
      </c>
      <c r="D52" t="inlineStr">
        <is>
          <t>인터넷 500M</t>
        </is>
      </c>
      <c r="E52" s="25" t="n">
        <v>230000</v>
      </c>
    </row>
    <row r="53">
      <c r="A53" s="22" t="n">
        <v>51</v>
      </c>
      <c r="B53" s="28" t="inlineStr">
        <is>
          <t>LG U+</t>
        </is>
      </c>
      <c r="C53" s="24" t="inlineStr">
        <is>
          <t>단독</t>
        </is>
      </c>
      <c r="D53" t="inlineStr">
        <is>
          <t>인터넷 1G</t>
        </is>
      </c>
      <c r="E53" s="25" t="n">
        <v>230000</v>
      </c>
    </row>
    <row r="54">
      <c r="A54" s="22" t="n">
        <v>52</v>
      </c>
      <c r="B54" s="28" t="inlineStr">
        <is>
          <t>LG U+</t>
        </is>
      </c>
      <c r="C54" s="26" t="inlineStr">
        <is>
          <t>결합</t>
        </is>
      </c>
      <c r="D54" t="inlineStr">
        <is>
          <t>인터넷 100M + U+tv 실속형</t>
        </is>
      </c>
      <c r="E54" s="25" t="n">
        <v>400000</v>
      </c>
    </row>
    <row r="55">
      <c r="A55" s="22" t="n">
        <v>53</v>
      </c>
      <c r="B55" s="28" t="inlineStr">
        <is>
          <t>LG U+</t>
        </is>
      </c>
      <c r="C55" s="26" t="inlineStr">
        <is>
          <t>결합</t>
        </is>
      </c>
      <c r="D55" t="inlineStr">
        <is>
          <t>인터넷 100M + U+tv 기본형</t>
        </is>
      </c>
      <c r="E55" s="25" t="n">
        <v>400000</v>
      </c>
    </row>
    <row r="56">
      <c r="A56" s="22" t="n">
        <v>54</v>
      </c>
      <c r="B56" s="28" t="inlineStr">
        <is>
          <t>LG U+</t>
        </is>
      </c>
      <c r="C56" s="26" t="inlineStr">
        <is>
          <t>결합</t>
        </is>
      </c>
      <c r="D56" t="inlineStr">
        <is>
          <t>인터넷 100M + U+tv 프리미엄</t>
        </is>
      </c>
      <c r="E56" s="25" t="n">
        <v>400000</v>
      </c>
    </row>
    <row r="57">
      <c r="A57" s="22" t="n">
        <v>55</v>
      </c>
      <c r="B57" s="28" t="inlineStr">
        <is>
          <t>LG U+</t>
        </is>
      </c>
      <c r="C57" s="26" t="inlineStr">
        <is>
          <t>결합</t>
        </is>
      </c>
      <c r="D57" t="inlineStr">
        <is>
          <t>인터넷 100M + U+tv 프리미엄 VOD</t>
        </is>
      </c>
      <c r="E57" s="25" t="n">
        <v>400000</v>
      </c>
    </row>
    <row r="58">
      <c r="A58" s="22" t="n">
        <v>56</v>
      </c>
      <c r="B58" s="28" t="inlineStr">
        <is>
          <t>LG U+</t>
        </is>
      </c>
      <c r="C58" s="26" t="inlineStr">
        <is>
          <t>결합</t>
        </is>
      </c>
      <c r="D58" t="inlineStr">
        <is>
          <t>인터넷 500M + U+tv 실속형</t>
        </is>
      </c>
      <c r="E58" s="25" t="n">
        <v>470000</v>
      </c>
    </row>
    <row r="59">
      <c r="A59" s="22" t="n">
        <v>57</v>
      </c>
      <c r="B59" s="28" t="inlineStr">
        <is>
          <t>LG U+</t>
        </is>
      </c>
      <c r="C59" s="26" t="inlineStr">
        <is>
          <t>결합</t>
        </is>
      </c>
      <c r="D59" t="inlineStr">
        <is>
          <t>인터넷 500M + U+tv 기본형</t>
        </is>
      </c>
      <c r="E59" s="25" t="n">
        <v>470000</v>
      </c>
    </row>
    <row r="60">
      <c r="A60" s="22" t="n">
        <v>58</v>
      </c>
      <c r="B60" s="28" t="inlineStr">
        <is>
          <t>LG U+</t>
        </is>
      </c>
      <c r="C60" s="26" t="inlineStr">
        <is>
          <t>결합</t>
        </is>
      </c>
      <c r="D60" t="inlineStr">
        <is>
          <t>인터넷 500M + U+tv 프리미엄</t>
        </is>
      </c>
      <c r="E60" s="25" t="n">
        <v>470000</v>
      </c>
    </row>
    <row r="61">
      <c r="A61" s="22" t="n">
        <v>59</v>
      </c>
      <c r="B61" s="28" t="inlineStr">
        <is>
          <t>LG U+</t>
        </is>
      </c>
      <c r="C61" s="26" t="inlineStr">
        <is>
          <t>결합</t>
        </is>
      </c>
      <c r="D61" t="inlineStr">
        <is>
          <t>인터넷 500M + U+tv 프리미엄 VOD</t>
        </is>
      </c>
      <c r="E61" s="25" t="n">
        <v>470000</v>
      </c>
    </row>
    <row r="62">
      <c r="A62" s="22" t="n">
        <v>60</v>
      </c>
      <c r="B62" s="28" t="inlineStr">
        <is>
          <t>LG U+</t>
        </is>
      </c>
      <c r="C62" s="26" t="inlineStr">
        <is>
          <t>결합</t>
        </is>
      </c>
      <c r="D62" t="inlineStr">
        <is>
          <t>인터넷 1G + U+tv 실속형</t>
        </is>
      </c>
      <c r="E62" s="25" t="n">
        <v>470000</v>
      </c>
    </row>
    <row r="63">
      <c r="A63" s="22" t="n">
        <v>61</v>
      </c>
      <c r="B63" s="28" t="inlineStr">
        <is>
          <t>LG U+</t>
        </is>
      </c>
      <c r="C63" s="26" t="inlineStr">
        <is>
          <t>결합</t>
        </is>
      </c>
      <c r="D63" t="inlineStr">
        <is>
          <t>인터넷 1G + U+tv 기본형</t>
        </is>
      </c>
      <c r="E63" s="25" t="n">
        <v>470000</v>
      </c>
    </row>
    <row r="64">
      <c r="A64" s="22" t="n">
        <v>62</v>
      </c>
      <c r="B64" s="28" t="inlineStr">
        <is>
          <t>LG U+</t>
        </is>
      </c>
      <c r="C64" s="26" t="inlineStr">
        <is>
          <t>결합</t>
        </is>
      </c>
      <c r="D64" t="inlineStr">
        <is>
          <t>인터넷 1G + U+tv 프리미엄</t>
        </is>
      </c>
      <c r="E64" s="25" t="n">
        <v>470000</v>
      </c>
    </row>
    <row r="65">
      <c r="A65" s="22" t="n">
        <v>63</v>
      </c>
      <c r="B65" s="28" t="inlineStr">
        <is>
          <t>LG U+</t>
        </is>
      </c>
      <c r="C65" s="26" t="inlineStr">
        <is>
          <t>결합</t>
        </is>
      </c>
      <c r="D65" t="inlineStr">
        <is>
          <t>인터넷 1G + U+tv 프리미엄 VOD</t>
        </is>
      </c>
      <c r="E65" s="25" t="n">
        <v>470000</v>
      </c>
    </row>
    <row r="66">
      <c r="A66" s="29" t="inlineStr">
        <is>
          <t>※ 인터넷+TV 사은품 정책은 통합 1개 (온·오프라인 공통) · 매장별 차등 없음 · 단위: 원</t>
        </is>
      </c>
    </row>
  </sheetData>
  <mergeCells count="2">
    <mergeCell ref="A1:E1"/>
    <mergeCell ref="A66:E6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2026-04-21T09:55:06Z</dcterms:created>
  <dcterms:modified xmlns:dcterms="http://purl.org/dc/terms/" xmlns:xsi="http://www.w3.org/2001/XMLSchema-instance" xsi:type="dcterms:W3CDTF">2026-05-12T04:43:18Z</dcterms:modified>
</cp:coreProperties>
</file>